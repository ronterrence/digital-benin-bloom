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1e96fe5d1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er" sheetId="1" r:id="R04411cfb18344af4"/>
    <x:sheet xmlns:r="http://schemas.openxmlformats.org/officeDocument/2006/relationships" name="Institution Summary" sheetId="2" r:id="Raac7ecc989704be5"/>
    <x:sheet xmlns:r="http://schemas.openxmlformats.org/officeDocument/2006/relationships" name="Second Pass Queue" sheetId="3" r:id="Rf3d1d62b363e47a3"/>
    <x:sheet xmlns:r="http://schemas.openxmlformats.org/officeDocument/2006/relationships" name="Categories" sheetId="4" r:id="R54bc4e5b3e6946b7"/>
    <x:sheet xmlns:r="http://schemas.openxmlformats.org/officeDocument/2006/relationships" name="Source Notes" sheetId="5" r:id="Rdb81d72835ab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4aaa60124434b" /><Relationship Type="http://schemas.openxmlformats.org/officeDocument/2006/relationships/theme" Target="/xl/theme/theme1.xml" Id="Ra46600bfe8d149ca" /><Relationship Type="http://schemas.openxmlformats.org/officeDocument/2006/relationships/sharedStrings" Target="/xl/sharedStrings.xml" Id="R0d86a0bb0a514e3d" /><Relationship Type="http://schemas.openxmlformats.org/officeDocument/2006/relationships/worksheet" Target="/xl/worksheets/sheet1.xml" Id="R04411cfb18344af4" /><Relationship Type="http://schemas.openxmlformats.org/officeDocument/2006/relationships/worksheet" Target="/xl/worksheets/sheet2.xml" Id="Raac7ecc989704be5" /><Relationship Type="http://schemas.openxmlformats.org/officeDocument/2006/relationships/worksheet" Target="/xl/worksheets/sheet3.xml" Id="Rf3d1d62b363e47a3" /><Relationship Type="http://schemas.openxmlformats.org/officeDocument/2006/relationships/worksheet" Target="/xl/worksheets/sheet4.xml" Id="R54bc4e5b3e6946b7" /><Relationship Type="http://schemas.openxmlformats.org/officeDocument/2006/relationships/worksheet" Target="/xl/worksheets/sheet5.xml" Id="Rdb81d72835ab4766" /></Relationships>
</file>

<file path=xl/tables/table1.xml><?xml version="1.0" encoding="utf-8"?>
<x:table xmlns:x="http://schemas.openxmlformats.org/spreadsheetml/2006/main" id="1" name="MasterRegister" displayName="MasterRegister" ref="A1:U46" headerRowCount="1">
  <x:tableColumns count="21">
    <x:tableColumn id="1" name="Batch"/>
    <x:tableColumn id="2" name="Country"/>
    <x:tableColumn id="3" name="City/Region"/>
    <x:tableColumn id="4" name="Institution"/>
    <x:tableColumn id="5" name="Record Level"/>
    <x:tableColumn id="6" name="Object title"/>
    <x:tableColumn id="7" name="Object type"/>
    <x:tableColumn id="8" name="Cultural attribution"/>
    <x:tableColumn id="9" name="Date / period"/>
    <x:tableColumn id="10" name="Material"/>
    <x:tableColumn id="11" name="Accession / inventory number"/>
    <x:tableColumn id="12" name="Acquisition date"/>
    <x:tableColumn id="13" name="Provenance summary"/>
    <x:tableColumn id="14" name="1897 connection"/>
    <x:tableColumn id="15" name="Digital Benin status/link"/>
    <x:tableColumn id="16" name="Current ownership/restitution status"/>
    <x:tableColumn id="17" name="Catalogue/source URL"/>
    <x:tableColumn id="18" name="Image available?"/>
    <x:tableColumn id="19" name="Confidence level"/>
    <x:tableColumn id="20" name="Research priority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condPassQueue" displayName="SecondPassQueue" ref="A1:G27" headerRowCount="1">
  <x:tableColumns count="7">
    <x:tableColumn id="1" name="Priority Rank"/>
    <x:tableColumn id="2" name="Institution"/>
    <x:tableColumn id="3" name="City/Region"/>
    <x:tableColumn id="4" name="Object / collection"/>
    <x:tableColumn id="5" name="Task"/>
    <x:tableColumn id="6" name="Why it matters"/>
    <x:tableColumn id="7" name="Starting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0d8fec8fb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b262f0242e47b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32" hidden="0" customWidth="1"/>
    <x:col min="5" max="5" width="16" hidden="0" customWidth="1"/>
    <x:col min="6" max="6" width="34" hidden="0" customWidth="1"/>
    <x:col min="7" max="7" width="22" hidden="0" customWidth="1"/>
    <x:col min="8" max="8" width="26" hidden="0" customWidth="1"/>
    <x:col min="9" max="9" width="20" hidden="0" customWidth="1"/>
    <x:col min="10" max="10" width="20" hidden="0" customWidth="1"/>
    <x:col min="11" max="11" width="22" hidden="0" customWidth="1"/>
    <x:col min="12" max="12" width="16" hidden="0" customWidth="1"/>
    <x:col min="13" max="13" width="42" hidden="0" customWidth="1"/>
    <x:col min="14" max="14" width="42" hidden="0" customWidth="1"/>
    <x:col min="15" max="15" width="30" hidden="0" customWidth="1"/>
    <x:col min="16" max="16" width="38" hidden="0" customWidth="1"/>
    <x:col min="17" max="17" width="42" hidden="0" customWidth="1"/>
    <x:col min="18" max="18" width="14" hidden="0" customWidth="1"/>
    <x:col min="19" max="19" width="20" hidden="0" customWidth="1"/>
    <x:col min="20" max="20" width="15" hidden="0" customWidth="1"/>
    <x:col min="21" max="21" width="42" hidden="0" customWidth="1"/>
  </x:cols>
  <x:sheetData>
    <x:row r="1">
      <x:c r="A1" s="14" t="str">
        <x:v>Batch</x:v>
      </x:c>
      <x:c r="B1" s="14" t="str">
        <x:v>Country</x:v>
      </x:c>
      <x:c r="C1" s="14" t="str">
        <x:v>City/Region</x:v>
      </x:c>
      <x:c r="D1" s="14" t="str">
        <x:v>Institution</x:v>
      </x:c>
      <x:c r="E1" s="14" t="str">
        <x:v>Record Level</x:v>
      </x:c>
      <x:c r="F1" s="14" t="str">
        <x:v>Object title</x:v>
      </x:c>
      <x:c r="G1" s="14" t="str">
        <x:v>Object type</x:v>
      </x:c>
      <x:c r="H1" s="14" t="str">
        <x:v>Cultural attribution</x:v>
      </x:c>
      <x:c r="I1" s="14" t="str">
        <x:v>Date / period</x:v>
      </x:c>
      <x:c r="J1" s="14" t="str">
        <x:v>Material</x:v>
      </x:c>
      <x:c r="K1" s="14" t="str">
        <x:v>Accession / inventory number</x:v>
      </x:c>
      <x:c r="L1" s="14" t="str">
        <x:v>Acquisition date</x:v>
      </x:c>
      <x:c r="M1" s="14" t="str">
        <x:v>Provenance summary</x:v>
      </x:c>
      <x:c r="N1" s="14" t="str">
        <x:v>1897 connection</x:v>
      </x:c>
      <x:c r="O1" s="14" t="str">
        <x:v>Digital Benin status/link</x:v>
      </x:c>
      <x:c r="P1" s="14" t="str">
        <x:v>Current ownership/restitution status</x:v>
      </x:c>
      <x:c r="Q1" s="14" t="str">
        <x:v>Catalogue/source URL</x:v>
      </x:c>
      <x:c r="R1" s="14" t="str">
        <x:v>Image available?</x:v>
      </x:c>
      <x:c r="S1" s="14" t="str">
        <x:v>Confidence level</x:v>
      </x:c>
      <x:c r="T1" s="14" t="str">
        <x:v>Research priority</x:v>
      </x:c>
      <x:c r="U1" s="14" t="str">
        <x:v>Notes</x:v>
      </x:c>
    </x:row>
    <x:row r="2">
      <x:c r="A2" s="15" t="n">
        <x:v>1</x:v>
      </x:c>
      <x:c r="B2" s="15" t="str">
        <x:v>Austria</x:v>
      </x:c>
      <x:c r="C2" s="15" t="str">
        <x:v>Vienna</x:v>
      </x:c>
      <x:c r="D2" s="15" t="str">
        <x:v>Weltmuseum Wien</x:v>
      </x:c>
      <x:c r="E2" s="15" t="str">
        <x:v>Object</x:v>
      </x:c>
      <x:c r="F2" s="15" t="str">
        <x:v>Figure of a Court Dwarf</x:v>
      </x:c>
      <x:c r="G2" s="15" t="str">
        <x:v>Court figure</x:v>
      </x:c>
      <x:c r="H2" s="15" t="str">
        <x:v>Edo, Benin Kingdom</x:v>
      </x:c>
      <x:c r="I2" s="15" t="str">
        <x:v>14th/15th century</x:v>
      </x:c>
      <x:c r="J2" s="15" t="str">
        <x:v>Brass</x:v>
      </x:c>
      <x:c r="K2" s="15" t="str">
        <x:v>64745</x:v>
      </x:c>
      <x:c r="L2" s="15" t="str">
        <x:v>1899</x:v>
      </x:c>
      <x:c r="M2" s="15" t="str">
        <x:v>Wilhelm Albert Maschmann collection; provenance listed as Captain Albert Maschmann</x:v>
      </x:c>
      <x:c r="N2" s="15" t="str">
        <x:v>Museum says directly linked with events of 1897</x:v>
      </x:c>
      <x:c r="O2" s="15" t="str">
        <x:v>Digital Benin platform participant; object ID not captured</x:v>
      </x:c>
      <x:c r="P2" s="15" t="str">
        <x:v>Current location/ownership needs object-level verification</x:v>
      </x:c>
      <x:c r="Q2" s="15" t="str">
        <x:v>https://www.weltmuseumwien.at/en/objects/figure-of-a-court-dwarf-441024</x:v>
      </x:c>
      <x:c r="R2" s="15" t="str">
        <x:v>Yes</x:v>
      </x:c>
      <x:c r="S2" s="15" t="str">
        <x:v>Confirmed</x:v>
      </x:c>
      <x:c r="T2" s="15" t="str">
        <x:v>High</x:v>
      </x:c>
      <x:c r="U2" s="15" t="str">
        <x:v>Strong Vienna anchor; cross-check Digital Benin ID.</x:v>
      </x:c>
    </x:row>
    <x:row r="3">
      <x:c r="A3" s="15" t="n">
        <x:v>1</x:v>
      </x:c>
      <x:c r="B3" s="15" t="str">
        <x:v>Austria</x:v>
      </x:c>
      <x:c r="C3" s="15" t="str">
        <x:v>Vienna</x:v>
      </x:c>
      <x:c r="D3" s="15" t="str">
        <x:v>Weltmuseum Wien</x:v>
      </x:c>
      <x:c r="E3" s="15" t="str">
        <x:v>Object</x:v>
      </x:c>
      <x:c r="F3" s="15" t="str">
        <x:v>Female Figure</x:v>
      </x:c>
      <x:c r="G3" s="15" t="str">
        <x:v>Figure</x:v>
      </x:c>
      <x:c r="H3" s="15" t="str">
        <x:v>Edo, Benin Kingdom</x:v>
      </x:c>
      <x:c r="I3" s="15" t="str">
        <x:v>Not stated</x:v>
      </x:c>
      <x:c r="J3" s="15" t="str">
        <x:v>Ivory</x:v>
      </x:c>
      <x:c r="K3" s="15" t="str">
        <x:v>64789</x:v>
      </x:c>
      <x:c r="L3" s="15" t="str">
        <x:v>1899</x:v>
      </x:c>
      <x:c r="M3" s="15" t="str">
        <x:v>Wilhelm Albert Maschmann collection</x:v>
      </x:c>
      <x:c r="N3" s="15" t="str">
        <x:v>General 1897 Benin context; object-specific chain not captured</x:v>
      </x:c>
      <x:c r="O3" s="15" t="str">
        <x:v>Digital Benin platform participant; object ID not captured</x:v>
      </x:c>
      <x:c r="P3" s="15" t="str">
        <x:v>Current location/ownership needs object-level verification</x:v>
      </x:c>
      <x:c r="Q3" s="15" t="str">
        <x:v>https://www.weltmuseumwien.at/en/objects/female-figure-441064</x:v>
      </x:c>
      <x:c r="R3" s="15" t="str">
        <x:v>Yes</x:v>
      </x:c>
      <x:c r="S3" s="15" t="str">
        <x:v>Confirmed</x:v>
      </x:c>
      <x:c r="T3" s="15" t="str">
        <x:v>Medium</x:v>
      </x:c>
      <x:c r="U3" s="15" t="str">
        <x:v>Object-specific 1897 link requires follow-up.</x:v>
      </x:c>
    </x:row>
    <x:row r="4">
      <x:c r="A4" s="15" t="n">
        <x:v>1</x:v>
      </x:c>
      <x:c r="B4" s="15" t="str">
        <x:v>United Kingdom</x:v>
      </x:c>
      <x:c r="C4" s="15" t="str">
        <x:v>Cambridge</x:v>
      </x:c>
      <x:c r="D4" s="15" t="str">
        <x:v>Museum of Archaeology and Anthropology, University of Cambridge</x:v>
      </x:c>
      <x:c r="E4" s="15" t="str">
        <x:v>Object</x:v>
      </x:c>
      <x:c r="F4" s="15" t="str">
        <x:v>Human head / tusk stand</x:v>
      </x:c>
      <x:c r="G4" s="15" t="str">
        <x:v>Commemorative head / head</x:v>
      </x:c>
      <x:c r="H4" s="15" t="str">
        <x:v>Benin / Edo</x:v>
      </x:c>
      <x:c r="I4" s="15" t="str">
        <x:v>Mid-16th to early 17th century based on MAA note</x:v>
      </x:c>
      <x:c r="J4" s="15" t="str">
        <x:v>Bronze / copper alloy</x:v>
      </x:c>
      <x:c r="K4" s="15" t="str">
        <x:v>Object page 532530; E 1902.94-115 accession range referenced</x:v>
      </x:c>
      <x:c r="L4" s="15" t="str">
        <x:v>1902</x:v>
      </x:c>
      <x:c r="M4" s="15" t="str">
        <x:v>Purchased at J.C. Stevens saleroom with funds donated by Prof. Anthony Ashley Bevan</x:v>
      </x:c>
      <x:c r="N4" s="15" t="str">
        <x:v>Accession register says Benin West Africa 1897 Expedition</x:v>
      </x:c>
      <x:c r="O4" s="15" t="str">
        <x:v>Digital Benin ID not captured</x:v>
      </x:c>
      <x:c r="P4" s="15" t="str">
        <x:v>Updated: Cambridge announced transfer of legal ownership of 116 Benin artefacts to Nigeria/NCMM on 8 Feb 2026</x:v>
      </x:c>
      <x:c r="Q4" s="15" t="str">
        <x:v>https://collections.maa.cam.ac.uk/objects/532530/</x:v>
      </x:c>
      <x:c r="R4" s="15" t="str">
        <x:v>Yes</x:v>
      </x:c>
      <x:c r="S4" s="15" t="str">
        <x:v>Confirmed</x:v>
      </x:c>
      <x:c r="T4" s="15" t="str">
        <x:v>High</x:v>
      </x:c>
      <x:c r="U4" s="15" t="str">
        <x:v>Cross-check whether this specific object is among the 116 transferred.</x:v>
      </x:c>
    </x:row>
    <x:row r="5">
      <x:c r="A5" s="15" t="n">
        <x:v>1</x:v>
      </x:c>
      <x:c r="B5" s="15" t="str">
        <x:v>United Kingdom</x:v>
      </x:c>
      <x:c r="C5" s="15" t="str">
        <x:v>Cambridge</x:v>
      </x:c>
      <x:c r="D5" s="15" t="str">
        <x:v>Museum of Archaeology and Anthropology, University of Cambridge</x:v>
      </x:c>
      <x:c r="E5" s="15" t="str">
        <x:v>Object</x:v>
      </x:c>
      <x:c r="F5" s="15" t="str">
        <x:v>Head of an Oba / noble head</x:v>
      </x:c>
      <x:c r="G5" s="15" t="str">
        <x:v>Head</x:v>
      </x:c>
      <x:c r="H5" s="15" t="str">
        <x:v>Bini / Benin City / Edo</x:v>
      </x:c>
      <x:c r="I5" s="15" t="str">
        <x:v>End of 16th century per catalogue card; later analysis suggests later</x:v>
      </x:c>
      <x:c r="J5" s="15" t="str">
        <x:v>Copper alloy / bronze</x:v>
      </x:c>
      <x:c r="K5" s="15" t="str">
        <x:v>Object page 532528; catalogue card 1900 E.98 (2)</x:v>
      </x:c>
      <x:c r="L5" s="15" t="str">
        <x:v>1900</x:v>
      </x:c>
      <x:c r="M5" s="15" t="str">
        <x:v>Bought from W. D. Webster with funds from F. J. H. Jenkinson</x:v>
      </x:c>
      <x:c r="N5" s="15" t="str">
        <x:v>Presumed taken from palace of Oba Ovonramwen during February 1897 British campaign</x:v>
      </x:c>
      <x:c r="O5" s="15" t="str">
        <x:v>Digital Benin ID not captured</x:v>
      </x:c>
      <x:c r="P5" s="15" t="str">
        <x:v>Updated: Cambridge announced transfer of legal ownership of 116 Benin artefacts to Nigeria/NCMM on 8 Feb 2026</x:v>
      </x:c>
      <x:c r="Q5" s="15" t="str">
        <x:v>https://collections.maa.cam.ac.uk/objects/532528/</x:v>
      </x:c>
      <x:c r="R5" s="15" t="str">
        <x:v>Unclear</x:v>
      </x:c>
      <x:c r="S5" s="15" t="str">
        <x:v>Probable / very strong</x:v>
      </x:c>
      <x:c r="T5" s="15" t="str">
        <x:v>High</x:v>
      </x:c>
      <x:c r="U5" s="15" t="str">
        <x:v>Dealer-linked provenance via Webster.</x:v>
      </x:c>
    </x:row>
    <x:row r="6">
      <x:c r="A6" s="15" t="n">
        <x:v>1</x:v>
      </x:c>
      <x:c r="B6" s="15" t="str">
        <x:v>United Kingdom</x:v>
      </x:c>
      <x:c r="C6" s="15" t="str">
        <x:v>Oxford</x:v>
      </x:c>
      <x:c r="D6" s="15" t="str">
        <x:v>Pitt Rivers Museum / University of Oxford</x:v>
      </x:c>
      <x:c r="E6" s="15" t="str">
        <x:v>Object</x:v>
      </x:c>
      <x:c r="F6" s="15" t="str">
        <x:v>Bronze Plaque looted from Royal Palace of Benin</x:v>
      </x:c>
      <x:c r="G6" s="15" t="str">
        <x:v>Plaque</x:v>
      </x:c>
      <x:c r="H6" s="15" t="str">
        <x:v>Benin Kingdom / Edo</x:v>
      </x:c>
      <x:c r="I6" s="15" t="str">
        <x:v>Not stated</x:v>
      </x:c>
      <x:c r="J6" s="15" t="str">
        <x:v>Bronze / brass</x:v>
      </x:c>
      <x:c r="K6" s="15" t="str">
        <x:v>1907.66.1</x:v>
      </x:c>
      <x:c r="L6" s="15" t="str">
        <x:v>1907</x:v>
      </x:c>
      <x:c r="M6" s="15" t="str">
        <x:v>Purchased by Pitt Rivers Museum for £5</x:v>
      </x:c>
      <x:c r="N6" s="15" t="str">
        <x:v>PRM caption says looted from Royal Palace of Benin</x:v>
      </x:c>
      <x:c r="O6" s="15" t="str">
        <x:v>Digital Benin ID not captured</x:v>
      </x:c>
      <x:c r="P6" s="15" t="str">
        <x:v>Current ownership/status needs latest Oxford follow-up</x:v>
      </x:c>
      <x:c r="Q6" s="15" t="str">
        <x:v>https://www.prm.ox.ac.uk/benin-bronzes</x:v>
      </x:c>
      <x:c r="R6" s="15" t="str">
        <x:v>Yes</x:v>
      </x:c>
      <x:c r="S6" s="15" t="str">
        <x:v>Confirmed</x:v>
      </x:c>
      <x:c r="T6" s="15" t="str">
        <x:v>High</x:v>
      </x:c>
      <x:c r="U6" s="15" t="str">
        <x:v>Part of Oxford Benin 1897 research corpus.</x:v>
      </x:c>
    </x:row>
    <x:row r="7">
      <x:c r="A7" s="15" t="n">
        <x:v>2</x:v>
      </x:c>
      <x:c r="B7" s="15" t="str">
        <x:v>Scotland / UK</x:v>
      </x:c>
      <x:c r="C7" s="15" t="str">
        <x:v>Edinburgh</x:v>
      </x:c>
      <x:c r="D7" s="15" t="str">
        <x:v>National Museums Scotland / National Museum of Scotland</x:v>
      </x:c>
      <x:c r="E7" s="15" t="str">
        <x:v>Collection</x:v>
      </x:c>
      <x:c r="F7" s="15" t="str">
        <x:v>Benin collection / selected Benin artworks</x:v>
      </x:c>
      <x:c r="G7" s="15" t="str">
        <x:v>Collection / armlet example</x:v>
      </x:c>
      <x:c r="H7" s="15" t="str">
        <x:v>Edo Kingdom / Benin Kingdom</x:v>
      </x:c>
      <x:c r="I7" s="15" t="str">
        <x:v>Various</x:v>
      </x:c>
      <x:c r="J7" s="15" t="str">
        <x:v>Bronze/brass and other materials likely</x:v>
      </x:c>
      <x:c r="K7" s="15" t="str">
        <x:v>Collection-level</x:v>
      </x:c>
      <x:c r="L7" s="15" t="str">
        <x:v>Not given</x:v>
      </x:c>
      <x:c r="M7" s="15" t="str">
        <x:v>NMS researching provenance as Benin Dialogue Group member</x:v>
      </x:c>
      <x:c r="N7" s="15" t="str">
        <x:v>NMS says 74 objects believed connected to 1897 expedition</x:v>
      </x:c>
      <x:c r="O7" s="15" t="str">
        <x:v>Digital Benin collaboration mentioned; object IDs not captured</x:v>
      </x:c>
      <x:c r="P7" s="15" t="str">
        <x:v>Current ownership/restitution status needs object-level update</x:v>
      </x:c>
      <x:c r="Q7" s="15" t="str">
        <x:v>https://www.nms.ac.uk/discover-catalogue/benin-collections-at-national-museums-scotland</x:v>
      </x:c>
      <x:c r="R7" s="15" t="str">
        <x:v>Yes</x:v>
      </x:c>
      <x:c r="S7" s="15" t="str">
        <x:v>Confirmed collection-level</x:v>
      </x:c>
      <x:c r="T7" s="15" t="str">
        <x:v>High</x:v>
      </x:c>
      <x:c r="U7" s="15" t="str">
        <x:v>Need accession list for 74 objects.</x:v>
      </x:c>
    </x:row>
    <x:row r="8">
      <x:c r="A8" s="15" t="n">
        <x:v>2</x:v>
      </x:c>
      <x:c r="B8" s="15" t="str">
        <x:v>Scotland / UK</x:v>
      </x:c>
      <x:c r="C8" s="15" t="str">
        <x:v>Aberdeen</x:v>
      </x:c>
      <x:c r="D8" s="15" t="str">
        <x:v>University of Aberdeen Museums and Special Collections</x:v>
      </x:c>
      <x:c r="E8" s="15" t="str">
        <x:v>Object</x:v>
      </x:c>
      <x:c r="F8" s="15" t="str">
        <x:v>Head of an Oba of Benin</x:v>
      </x:c>
      <x:c r="G8" s="15" t="str">
        <x:v>Commemorative head / royal head</x:v>
      </x:c>
      <x:c r="H8" s="15" t="str">
        <x:v>Benin Kingdom / Edo</x:v>
      </x:c>
      <x:c r="I8" s="15" t="str">
        <x:v>Not stated</x:v>
      </x:c>
      <x:c r="J8" s="15" t="str">
        <x:v>Bronze / copper alloy</x:v>
      </x:c>
      <x:c r="K8" s="15" t="str">
        <x:v>Not captured</x:v>
      </x:c>
      <x:c r="L8" s="15" t="str">
        <x:v>Purchased 1957</x:v>
      </x:c>
      <x:c r="M8" s="15" t="str">
        <x:v>Purchased at auction; returned to Oba of Benin in 2021</x:v>
      </x:c>
      <x:c r="N8" s="15" t="str">
        <x:v>University says looted by British soldiers in 1897</x:v>
      </x:c>
      <x:c r="O8" s="15" t="str">
        <x:v>Digital Benin ID not captured</x:v>
      </x:c>
      <x:c r="P8" s="15" t="str">
        <x:v>Returned / repatriated to Oba of Benin in 2021</x:v>
      </x:c>
      <x:c r="Q8" s="15" t="str">
        <x:v>https://www.abdn.ac.uk/news/14790/</x:v>
      </x:c>
      <x:c r="R8" s="15" t="str">
        <x:v>Yes</x:v>
      </x:c>
      <x:c r="S8" s="15" t="str">
        <x:v>Confirmed, repatriated</x:v>
      </x:c>
      <x:c r="T8" s="15" t="str">
        <x:v>Medium</x:v>
      </x:c>
      <x:c r="U8" s="15" t="str">
        <x:v>Former Scottish holding; important historical trail.</x:v>
      </x:c>
    </x:row>
    <x:row r="9">
      <x:c r="A9" s="15" t="n">
        <x:v>2</x:v>
      </x:c>
      <x:c r="B9" s="15" t="str">
        <x:v>Germany</x:v>
      </x:c>
      <x:c r="C9" s="15" t="str">
        <x:v>Köln / Cologne</x:v>
      </x:c>
      <x:c r="D9" s="15" t="str">
        <x:v>Rautenstrauch-Joest-Museum</x:v>
      </x:c>
      <x:c r="E9" s="15" t="str">
        <x:v>Collection</x:v>
      </x:c>
      <x:c r="F9" s="15" t="str">
        <x:v>RJM royal artworks from Kingdom of Benin</x:v>
      </x:c>
      <x:c r="G9" s="15" t="str">
        <x:v>Collection</x:v>
      </x:c>
      <x:c r="H9" s="15" t="str">
        <x:v>Kingdom of Benin / Edo State, Nigeria</x:v>
      </x:c>
      <x:c r="I9" s="15" t="str">
        <x:v>Various</x:v>
      </x:c>
      <x:c r="J9" s="15" t="str">
        <x:v>Bronze, ivory, wood</x:v>
      </x:c>
      <x:c r="K9" s="15" t="str">
        <x:v>92 works</x:v>
      </x:c>
      <x:c r="L9" s="15" t="str">
        <x:v>Received 1899-1967</x:v>
      </x:c>
      <x:c r="M9" s="15" t="str">
        <x:v>15 donations and purchases</x:v>
      </x:c>
      <x:c r="N9" s="15" t="str">
        <x:v>RJM says 92 court artworks were looted from royal palace in February 1897</x:v>
      </x:c>
      <x:c r="O9" s="15" t="str">
        <x:v>Digital Benin IDs not captured</x:v>
      </x:c>
      <x:c r="P9" s="15" t="str">
        <x:v>Ownership transferred to Nigeria; physical location/loan status object-dependent</x:v>
      </x:c>
      <x:c r="Q9" s="15" t="str">
        <x:v>https://rautenstrauch-joest-museum.de/Hofkunstwerke-aus-dem-Koenigreich-Benin-NEU</x:v>
      </x:c>
      <x:c r="R9" s="15" t="str">
        <x:v>Yes</x:v>
      </x:c>
      <x:c r="S9" s="15" t="str">
        <x:v>Confirmed collection-level</x:v>
      </x:c>
      <x:c r="T9" s="15" t="str">
        <x:v>High</x:v>
      </x:c>
      <x:c r="U9" s="15" t="str">
        <x:v>Need full list and loan status.</x:v>
      </x:c>
    </x:row>
    <x:row r="10">
      <x:c r="A10" s="15" t="n">
        <x:v>2</x:v>
      </x:c>
      <x:c r="B10" s="15" t="str">
        <x:v>Germany</x:v>
      </x:c>
      <x:c r="C10" s="15" t="str">
        <x:v>Köln / Cologne</x:v>
      </x:c>
      <x:c r="D10" s="15" t="str">
        <x:v>Rautenstrauch-Joest-Museum</x:v>
      </x:c>
      <x:c r="E10" s="15" t="str">
        <x:v>Object</x:v>
      </x:c>
      <x:c r="F10" s="15" t="str">
        <x:v>Figure fragment</x:v>
      </x:c>
      <x:c r="G10" s="15" t="str">
        <x:v>Figure fragment</x:v>
      </x:c>
      <x:c r="H10" s="15" t="str">
        <x:v>Benin Kingdom / Edo</x:v>
      </x:c>
      <x:c r="I10" s="15" t="str">
        <x:v>Not stated</x:v>
      </x:c>
      <x:c r="J10" s="15" t="str">
        <x:v>Copper alloy</x:v>
      </x:c>
      <x:c r="K10" s="15" t="str">
        <x:v>17941 / 190219</x:v>
      </x:c>
      <x:c r="L10" s="15" t="str">
        <x:v>21 Nov 1902</x:v>
      </x:c>
      <x:c r="M10" s="15" t="str">
        <x:v>Donated by Theodor Rautenstrauch; acquired from J.C. Stevens auction, London, 3 June 1902</x:v>
      </x:c>
      <x:c r="N10" s="15" t="str">
        <x:v>Auction described as Benin brass from 1897 British Punitive Expedition context</x:v>
      </x:c>
      <x:c r="O10" s="15" t="str">
        <x:v>Digital Benin ID not captured</x:v>
      </x:c>
      <x:c r="P10" s="15" t="str">
        <x:v>Ownership/location status needs German Contact Point follow-up</x:v>
      </x:c>
      <x:c r="Q10" s="15" t="str">
        <x:v>https://www.germancontactpoint.org/benin-bronzes/object.php?o=65</x:v>
      </x:c>
      <x:c r="R10" s="15" t="str">
        <x:v>Yes</x:v>
      </x:c>
      <x:c r="S10" s="15" t="str">
        <x:v>Confirmed</x:v>
      </x:c>
      <x:c r="T10" s="15" t="str">
        <x:v>High</x:v>
      </x:c>
      <x:c r="U10" s="15" t="str">
        <x:v>Good RJM object-level lead.</x:v>
      </x:c>
    </x:row>
    <x:row r="11">
      <x:c r="A11" s="15" t="n">
        <x:v>2</x:v>
      </x:c>
      <x:c r="B11" s="15" t="str">
        <x:v>Germany</x:v>
      </x:c>
      <x:c r="C11" s="15" t="str">
        <x:v>Dresden / Leipzig</x:v>
      </x:c>
      <x:c r="D11" s="15" t="str">
        <x:v>Staatliche Ethnographische Sammlungen Sachsen / SKD</x:v>
      </x:c>
      <x:c r="E11" s="15" t="str">
        <x:v>Collection</x:v>
      </x:c>
      <x:c r="F11" s="15" t="str">
        <x:v>SKD / SES Benin collection</x:v>
      </x:c>
      <x:c r="G11" s="15" t="str">
        <x:v>Collection</x:v>
      </x:c>
      <x:c r="H11" s="15" t="str">
        <x:v>Kingdom of Benin / Nigeria</x:v>
      </x:c>
      <x:c r="I11" s="15" t="str">
        <x:v>Various</x:v>
      </x:c>
      <x:c r="J11" s="15" t="str">
        <x:v>Mostly Benin bronzes; broader materials likely</x:v>
      </x:c>
      <x:c r="K11" s="15" t="str">
        <x:v>262 objects per SKD transfer announcement</x:v>
      </x:c>
      <x:c r="L11" s="15" t="str">
        <x:v>Various</x:v>
      </x:c>
      <x:c r="M11" s="15" t="str">
        <x:v>Held in Dresden and Leipzig ethnographic museums</x:v>
      </x:c>
      <x:c r="N11" s="15" t="str">
        <x:v>SKD says 262 objects go back to 1897 palace looting</x:v>
      </x:c>
      <x:c r="O11" s="15" t="str">
        <x:v>Digital Benin IDs not captured</x:v>
      </x:c>
      <x:c r="P11" s="15" t="str">
        <x:v>Saxony announced transfer of ownership to Nigeria; physical location/loan status object-dependent</x:v>
      </x:c>
      <x:c r="Q11" s="15" t="str">
        <x:v>https://www.skd.museum/besucherservice/presse/2022/benin-bronzen-sachsen-uebertraegt-eigentum-an-nigeria/</x:v>
      </x:c>
      <x:c r="R11" s="15" t="str">
        <x:v>Online database images</x:v>
      </x:c>
      <x:c r="S11" s="15" t="str">
        <x:v>Confirmed collection-level</x:v>
      </x:c>
      <x:c r="T11" s="15" t="str">
        <x:v>High</x:v>
      </x:c>
      <x:c r="U11" s="15" t="str">
        <x:v>Need split Dresden vs Leipzig.</x:v>
      </x:c>
    </x:row>
    <x:row r="12">
      <x:c r="A12" s="15" t="n">
        <x:v>2</x:v>
      </x:c>
      <x:c r="B12" s="15" t="str">
        <x:v>Germany</x:v>
      </x:c>
      <x:c r="C12" s="15" t="str">
        <x:v>Dresden</x:v>
      </x:c>
      <x:c r="D12" s="15" t="str">
        <x:v>Staatliche Ethnographische Sammlungen Sachsen / SKD</x:v>
      </x:c>
      <x:c r="E12" s="15" t="str">
        <x:v>Object</x:v>
      </x:c>
      <x:c r="F12" s="15" t="str">
        <x:v>Aufsatzfigur eines Würdenträgers mit Zeremonialschwert</x:v>
      </x:c>
      <x:c r="G12" s="15" t="str">
        <x:v>Finial / figure</x:v>
      </x:c>
      <x:c r="H12" s="15" t="str">
        <x:v>Königreich Benin</x:v>
      </x:c>
      <x:c r="I12" s="15" t="str">
        <x:v>Before 1897</x:v>
      </x:c>
      <x:c r="J12" s="15" t="str">
        <x:v>Gelbguss / cast brass or copper alloy</x:v>
      </x:c>
      <x:c r="K12" s="15" t="str">
        <x:v>16607</x:v>
      </x:c>
      <x:c r="L12" s="15" t="str">
        <x:v>1903</x:v>
      </x:c>
      <x:c r="M12" s="15" t="str">
        <x:v>Arthur Baessler purchased from William D. Webster; donated by Baessler</x:v>
      </x:c>
      <x:c r="N12" s="15" t="str">
        <x:v>Dated before 1897; broader SKD collection tied to 1897 looting</x:v>
      </x:c>
      <x:c r="O12" s="15" t="str">
        <x:v>Digital Benin ID not captured</x:v>
      </x:c>
      <x:c r="P12" s="15" t="str">
        <x:v>Ownership/location status needs follow-up</x:v>
      </x:c>
      <x:c r="Q12" s="15" t="str">
        <x:v>https://www.germancontactpoint.org/benin-bronzes/object.php?o=324</x:v>
      </x:c>
      <x:c r="R12" s="15" t="str">
        <x:v>Yes</x:v>
      </x:c>
      <x:c r="S12" s="15" t="str">
        <x:v>Confirmed</x:v>
      </x:c>
      <x:c r="T12" s="15" t="str">
        <x:v>High</x:v>
      </x:c>
      <x:c r="U12" s="15" t="str">
        <x:v>Webster/Baessler provenance chain.</x:v>
      </x:c>
    </x:row>
    <x:row r="13">
      <x:c r="A13" s="15" t="n">
        <x:v>3</x:v>
      </x:c>
      <x:c r="B13" s="15" t="str">
        <x:v>Germany</x:v>
      </x:c>
      <x:c r="C13" s="15" t="str">
        <x:v>Hamburg</x:v>
      </x:c>
      <x:c r="D13" s="15" t="str">
        <x:v>Museum am Rothenbaum — MARKK</x:v>
      </x:c>
      <x:c r="E13" s="15" t="str">
        <x:v>Collection</x:v>
      </x:c>
      <x:c r="F13" s="15" t="str">
        <x:v>MARKK Benin collection</x:v>
      </x:c>
      <x:c r="G13" s="15" t="str">
        <x:v>Collection</x:v>
      </x:c>
      <x:c r="H13" s="15" t="str">
        <x:v>Kingdom of Benin / Edo</x:v>
      </x:c>
      <x:c r="I13" s="15" t="str">
        <x:v>Various</x:v>
      </x:c>
      <x:c r="J13" s="15" t="str">
        <x:v>Bronze/brass, ivory, wood</x:v>
      </x:c>
      <x:c r="K13" s="15" t="str">
        <x:v>Collection-level</x:v>
      </x:c>
      <x:c r="L13" s="15" t="str">
        <x:v>Various</x:v>
      </x:c>
      <x:c r="M13" s="15" t="str">
        <x:v>MARKK exhibition presents Benin collection in restitution/provenance context</x:v>
      </x:c>
      <x:c r="N13" s="15" t="str">
        <x:v>1897 palace looting context central to exhibition</x:v>
      </x:c>
      <x:c r="O13" s="15" t="str">
        <x:v>Digital Benin project office founded at MARKK; object IDs not captured</x:v>
      </x:c>
      <x:c r="P13" s="15" t="str">
        <x:v>Current ownership/location status needs object-level check</x:v>
      </x:c>
      <x:c r="Q13" s="15" t="str">
        <x:v>https://markk-hamburg.de/en/ausstellungen/benin-looted-history/</x:v>
      </x:c>
      <x:c r="R13" s="15" t="str">
        <x:v>Yes</x:v>
      </x:c>
      <x:c r="S13" s="15" t="str">
        <x:v>Confirmed collection-level</x:v>
      </x:c>
      <x:c r="T13" s="15" t="str">
        <x:v>High</x:v>
      </x:c>
      <x:c r="U13" s="15" t="str">
        <x:v>Central Digital Benin institutional node.</x:v>
      </x:c>
    </x:row>
    <x:row r="14">
      <x:c r="A14" s="15" t="n">
        <x:v>3</x:v>
      </x:c>
      <x:c r="B14" s="15" t="str">
        <x:v>Germany</x:v>
      </x:c>
      <x:c r="C14" s="15" t="str">
        <x:v>Hamburg</x:v>
      </x:c>
      <x:c r="D14" s="15" t="str">
        <x:v>Museum am Rothenbaum — MARKK</x:v>
      </x:c>
      <x:c r="E14" s="15" t="str">
        <x:v>Object</x:v>
      </x:c>
      <x:c r="F14" s="15" t="str">
        <x:v>Anhänger mit zwei Portugiesen und Leopardenkopf</x:v>
      </x:c>
      <x:c r="G14" s="15" t="str">
        <x:v>Pendant</x:v>
      </x:c>
      <x:c r="H14" s="15" t="str">
        <x:v>Kingdom of Benin / Edo</x:v>
      </x:c>
      <x:c r="I14" s="15" t="str">
        <x:v>Not stated</x:v>
      </x:c>
      <x:c r="J14" s="15" t="str">
        <x:v>Metal / Gelbguss</x:v>
      </x:c>
      <x:c r="K14" s="15" t="str">
        <x:v>C 2389</x:v>
      </x:c>
      <x:c r="L14" s="15" t="str">
        <x:v>1899</x:v>
      </x:c>
      <x:c r="M14" s="15" t="str">
        <x:v>Collector John Lembcke</x:v>
      </x:c>
      <x:c r="N14" s="15" t="str">
        <x:v>1897 context likely; specific chain not captured</x:v>
      </x:c>
      <x:c r="O14" s="15" t="str">
        <x:v>Digital Benin ID not captured</x:v>
      </x:c>
      <x:c r="P14" s="15" t="str">
        <x:v>Current ownership/location status needs follow-up</x:v>
      </x:c>
      <x:c r="Q14" s="15" t="str">
        <x:v>https://www.germancontactpoint.org/benin-bronzes/object.php?o=476</x:v>
      </x:c>
      <x:c r="R14" s="15" t="str">
        <x:v>Yes</x:v>
      </x:c>
      <x:c r="S14" s="15" t="str">
        <x:v>Confirmed</x:v>
      </x:c>
      <x:c r="T14" s="15" t="str">
        <x:v>Medium</x:v>
      </x:c>
      <x:c r="U14" s="15" t="str">
        <x:v>Good MARKK starting object.</x:v>
      </x:c>
    </x:row>
    <x:row r="15">
      <x:c r="A15" s="15" t="n">
        <x:v>3</x:v>
      </x:c>
      <x:c r="B15" s="15" t="str">
        <x:v>Germany</x:v>
      </x:c>
      <x:c r="C15" s="15" t="str">
        <x:v>Hamburg</x:v>
      </x:c>
      <x:c r="D15" s="15" t="str">
        <x:v>Museum für Kunst und Gewerbe Hamburg — MK&amp;G</x:v>
      </x:c>
      <x:c r="E15" s="15" t="str">
        <x:v>Collection</x:v>
      </x:c>
      <x:c r="F15" s="15" t="str">
        <x:v>Three Benin bronzes</x:v>
      </x:c>
      <x:c r="G15" s="15" t="str">
        <x:v>Small collection / transferred display group</x:v>
      </x:c>
      <x:c r="H15" s="15" t="str">
        <x:v>Benin Kingdom</x:v>
      </x:c>
      <x:c r="I15" s="15" t="str">
        <x:v>Not stated</x:v>
      </x:c>
      <x:c r="J15" s="15" t="str">
        <x:v>Bronze/brass</x:v>
      </x:c>
      <x:c r="K15" s="15" t="str">
        <x:v>Not captured</x:v>
      </x:c>
      <x:c r="L15" s="15" t="str">
        <x:v>Not stated</x:v>
      </x:c>
      <x:c r="M15" s="15" t="str">
        <x:v>MK&amp;G researched three Benin bronzes and Brinckmann's trade role</x:v>
      </x:c>
      <x:c r="N15" s="15" t="str">
        <x:v>General 1897 context; object-specific chain pending</x:v>
      </x:c>
      <x:c r="O15" s="15" t="str">
        <x:v>Digital Benin/MARKK cross-check needed</x:v>
      </x:c>
      <x:c r="P15" s="15" t="str">
        <x:v>Planned transfer to MARKK for context/research per MK&amp;G page; confirm completed status</x:v>
      </x:c>
      <x:c r="Q15" s="15" t="str">
        <x:v>https://www.mkg-hamburg.de/en/exhibitions/looted-art</x:v>
      </x:c>
      <x:c r="R15" s="15" t="str">
        <x:v>Yes</x:v>
      </x:c>
      <x:c r="S15" s="15" t="str">
        <x:v>Confirmed collection-level</x:v>
      </x:c>
      <x:c r="T15" s="15" t="str">
        <x:v>Medium</x:v>
      </x:c>
      <x:c r="U15" s="15" t="str">
        <x:v>Need exact IDs.</x:v>
      </x:c>
    </x:row>
    <x:row r="16">
      <x:c r="A16" s="15" t="n">
        <x:v>3</x:v>
      </x:c>
      <x:c r="B16" s="15" t="str">
        <x:v>Germany</x:v>
      </x:c>
      <x:c r="C16" s="15" t="str">
        <x:v>Leipzig</x:v>
      </x:c>
      <x:c r="D16" s="15" t="str">
        <x:v>GRASSI Museum für Völkerkunde zu Leipzig / SKD / SES</x:v>
      </x:c>
      <x:c r="E16" s="15" t="str">
        <x:v>Collection</x:v>
      </x:c>
      <x:c r="F16" s="15" t="str">
        <x:v>GRASSI Benin collection</x:v>
      </x:c>
      <x:c r="G16" s="15" t="str">
        <x:v>Collection</x:v>
      </x:c>
      <x:c r="H16" s="15" t="str">
        <x:v>Former Kingdom of Benin</x:v>
      </x:c>
      <x:c r="I16" s="15" t="str">
        <x:v>Various</x:v>
      </x:c>
      <x:c r="J16" s="15" t="str">
        <x:v>Various</x:v>
      </x:c>
      <x:c r="K16" s="15" t="str">
        <x:v>87 objects per prior public statement; reconcile with SKD 262 figure</x:v>
      </x:c>
      <x:c r="L16" s="15" t="str">
        <x:v>Various</x:v>
      </x:c>
      <x:c r="M16" s="15" t="str">
        <x:v>Part of Saxon 1897 provenance context</x:v>
      </x:c>
      <x:c r="N16" s="15" t="str">
        <x:v>Digital Benin IDs not captured</x:v>
      </x:c>
      <x:c r="O16" s="15" t="str">
        <x:v>Ownership transferred to Nigeria; physical status object-dependent</x:v>
      </x:c>
      <x:c r="P16" s="15" t="str">
        <x:v>https://www.johnlubbock.com/2021/04/05/i-asked-29-museums-if-they-would-be-prepared-to-return-their-stolen-african-art-heres-what-they-said/</x:v>
      </x:c>
      <x:c r="Q16" s="15" t="str">
        <x:v>Yes</x:v>
      </x:c>
      <x:c r="R16" s="15" t="str">
        <x:v>Confirmed collection-level</x:v>
      </x:c>
      <x:c r="S16" s="15" t="str">
        <x:v>High</x:v>
      </x:c>
      <x:c r="T16" s="15" t="str">
        <x:v>Need reliable SKD direct object split.</x:v>
      </x:c>
      <x:c r="U16" s="15"/>
    </x:row>
    <x:row r="17">
      <x:c r="A17" s="15" t="n">
        <x:v>3</x:v>
      </x:c>
      <x:c r="B17" s="15" t="str">
        <x:v>Germany</x:v>
      </x:c>
      <x:c r="C17" s="15" t="str">
        <x:v>Leipzig</x:v>
      </x:c>
      <x:c r="D17" s="15" t="str">
        <x:v>GRASSI Museum / SKD / SES</x:v>
      </x:c>
      <x:c r="E17" s="15" t="str">
        <x:v>Object</x:v>
      </x:c>
      <x:c r="F17" s="15" t="str">
        <x:v>Fragment einer Reliefplatte mit drei Figuren Gelbguss</x:v>
      </x:c>
      <x:c r="G17" s="15" t="str">
        <x:v>Relief plaque fragment</x:v>
      </x:c>
      <x:c r="H17" s="15" t="str">
        <x:v>Königreich Benin</x:v>
      </x:c>
      <x:c r="I17" s="15" t="str">
        <x:v>Before 1897</x:v>
      </x:c>
      <x:c r="J17" s="15" t="str">
        <x:v>Gelbguss / cast brass or copper alloy</x:v>
      </x:c>
      <x:c r="K17" s="15" t="str">
        <x:v>22222</x:v>
      </x:c>
      <x:c r="L17" s="15" t="str">
        <x:v>1906</x:v>
      </x:c>
      <x:c r="M17" s="15" t="str">
        <x:v>Purchased by M. Schaumburg, Leipzig</x:v>
      </x:c>
      <x:c r="N17" s="15" t="str">
        <x:v>Likely broader 1897 dispersal context; object page not explicit</x:v>
      </x:c>
      <x:c r="O17" s="15" t="str">
        <x:v>Digital Benin ID not captured</x:v>
      </x:c>
      <x:c r="P17" s="15" t="str">
        <x:v>Ownership/location status needs follow-up</x:v>
      </x:c>
      <x:c r="Q17" s="15" t="str">
        <x:v>https://www.germancontactpoint.org/benin-bronzes/object.php?o=339</x:v>
      </x:c>
      <x:c r="R17" s="15" t="str">
        <x:v>Yes</x:v>
      </x:c>
      <x:c r="S17" s="15" t="str">
        <x:v>Confirmed</x:v>
      </x:c>
      <x:c r="T17" s="15" t="str">
        <x:v>Medium</x:v>
      </x:c>
      <x:c r="U17" s="15" t="str">
        <x:v>Strong Leipzig-linked lead.</x:v>
      </x:c>
    </x:row>
    <x:row r="18">
      <x:c r="A18" s="15" t="n">
        <x:v>3</x:v>
      </x:c>
      <x:c r="B18" s="15" t="str">
        <x:v>Germany</x:v>
      </x:c>
      <x:c r="C18" s="15" t="str">
        <x:v>Stuttgart</x:v>
      </x:c>
      <x:c r="D18" s="15" t="str">
        <x:v>Linden-Museum Stuttgart</x:v>
      </x:c>
      <x:c r="E18" s="15" t="str">
        <x:v>Collection</x:v>
      </x:c>
      <x:c r="F18" s="15" t="str">
        <x:v>Linden-Museum Benin collection</x:v>
      </x:c>
      <x:c r="G18" s="15" t="str">
        <x:v>Collection</x:v>
      </x:c>
      <x:c r="H18" s="15" t="str">
        <x:v>Kingdom of Benin</x:v>
      </x:c>
      <x:c r="I18" s="15" t="str">
        <x:v>Various</x:v>
      </x:c>
      <x:c r="J18" s="15" t="str">
        <x:v>Bronze/brass, copper alloy, ivory, wood</x:v>
      </x:c>
      <x:c r="K18" s="15" t="str">
        <x:v>70 objects</x:v>
      </x:c>
      <x:c r="L18" s="15" t="str">
        <x:v>Various</x:v>
      </x:c>
      <x:c r="M18" s="15" t="str">
        <x:v>Linden states 70 Benin objects, mostly 1897-linked</x:v>
      </x:c>
      <x:c r="N18" s="15" t="str">
        <x:v>Mostly connected to violent 1897 context</x:v>
      </x:c>
      <x:c r="O18" s="15" t="str">
        <x:v>Digital Benin IDs not captured</x:v>
      </x:c>
      <x:c r="P18" s="15" t="str">
        <x:v>Many objects restituted to Nigeria; some remain in Stuttgart as loans/temporary holdings</x:v>
      </x:c>
      <x:c r="Q18" s="15" t="str">
        <x:v>https://sammlung-digital.lindenmuseum.de/en/topic/benin-restitution-as-a-process_13206</x:v>
      </x:c>
      <x:c r="R18" s="15" t="str">
        <x:v>Yes</x:v>
      </x:c>
      <x:c r="S18" s="15" t="str">
        <x:v>Confirmed collection-level</x:v>
      </x:c>
      <x:c r="T18" s="15" t="str">
        <x:v>High</x:v>
      </x:c>
      <x:c r="U18" s="15" t="str">
        <x:v>Need per-object loan status.</x:v>
      </x:c>
    </x:row>
    <x:row r="19">
      <x:c r="A19" s="15" t="n">
        <x:v>3</x:v>
      </x:c>
      <x:c r="B19" s="15" t="str">
        <x:v>Germany</x:v>
      </x:c>
      <x:c r="C19" s="15" t="str">
        <x:v>Stuttgart</x:v>
      </x:c>
      <x:c r="D19" s="15" t="str">
        <x:v>Linden-Museum Stuttgart</x:v>
      </x:c>
      <x:c r="E19" s="15" t="str">
        <x:v>Object</x:v>
      </x:c>
      <x:c r="F19" s="15" t="str">
        <x:v>Carved elephant tusk</x:v>
      </x:c>
      <x:c r="G19" s="15" t="str">
        <x:v>Tusk</x:v>
      </x:c>
      <x:c r="H19" s="15" t="str">
        <x:v>Benin Kingdom / Edo</x:v>
      </x:c>
      <x:c r="I19" s="15" t="str">
        <x:v>Not stated</x:v>
      </x:c>
      <x:c r="J19" s="15" t="str">
        <x:v>Ivory</x:v>
      </x:c>
      <x:c r="K19" s="15" t="str">
        <x:v>033284</x:v>
      </x:c>
      <x:c r="L19" s="15" t="str">
        <x:v>Not captured</x:v>
      </x:c>
      <x:c r="M19" s="15" t="str">
        <x:v>Inventory note says object was 'won' during capture of Benin; wrong year 1886 instead of 1897</x:v>
      </x:c>
      <x:c r="N19" s="15" t="str">
        <x:v>Directly linked to capture of Benin, corrected to 1897</x:v>
      </x:c>
      <x:c r="O19" s="15" t="str">
        <x:v>Digital Benin ID not captured</x:v>
      </x:c>
      <x:c r="P19" s="15" t="str">
        <x:v>Status on German Contact Point should be checked; likely restituted/loan dependent</x:v>
      </x:c>
      <x:c r="Q19" s="15" t="str">
        <x:v>https://www.germancontactpoint.org/benin-bronzes/object.php?o=146</x:v>
      </x:c>
      <x:c r="R19" s="15" t="str">
        <x:v>Yes</x:v>
      </x:c>
      <x:c r="S19" s="15" t="str">
        <x:v>Confirmed</x:v>
      </x:c>
      <x:c r="T19" s="15" t="str">
        <x:v>High</x:v>
      </x:c>
      <x:c r="U19" s="15" t="str">
        <x:v>Very strong 1897-provenance lead.</x:v>
      </x:c>
    </x:row>
    <x:row r="20">
      <x:c r="A20" s="15" t="n">
        <x:v>4</x:v>
      </x:c>
      <x:c r="B20" s="15" t="str">
        <x:v>Netherlands</x:v>
      </x:c>
      <x:c r="C20" s="15" t="str">
        <x:v>Leiden / Amsterdam / Rotterdam / Berg en Dal</x:v>
      </x:c>
      <x:c r="D20" s="15" t="str">
        <x:v>Nationaal Museum van Wereldculturen / Wereldmuseum</x:v>
      </x:c>
      <x:c r="E20" s="15" t="str">
        <x:v>Collection</x:v>
      </x:c>
      <x:c r="F20" s="15" t="str">
        <x:v>NMVW / Wereldmuseum Benin collection</x:v>
      </x:c>
      <x:c r="G20" s="15" t="str">
        <x:v>Collection</x:v>
      </x:c>
      <x:c r="H20" s="15" t="str">
        <x:v>Benin City / Kingdom of Benin / Edo</x:v>
      </x:c>
      <x:c r="I20" s="15" t="str">
        <x:v>Various</x:v>
      </x:c>
      <x:c r="J20" s="15" t="str">
        <x:v>Brass/bronze, ivory, wood</x:v>
      </x:c>
      <x:c r="K20" s="15" t="str">
        <x:v>184 Benin-related objects in NMVW report</x:v>
      </x:c>
      <x:c r="L20" s="15" t="str">
        <x:v>Earliest from 1897 onward</x:v>
      </x:c>
      <x:c r="M20" s="15" t="str">
        <x:v>NMVW report covers Leiden, Tropenmuseum, Afrika Museum, Wereldmuseum Rotterdam</x:v>
      </x:c>
      <x:c r="N20" s="15" t="str">
        <x:v>114 definitively connected to 1897; 9 further likely candidates</x:v>
      </x:c>
      <x:c r="O20" s="15" t="str">
        <x:v>Digital Benin IDs not captured</x:v>
      </x:c>
      <x:c r="P20" s="15" t="str">
        <x:v>Updated: Netherlands returned 119 Benin Bronzes to Nigeria in June 2025</x:v>
      </x:c>
      <x:c r="Q20" s="15" t="str">
        <x:v>https://amsterdam.wereldmuseum.nl/sites/default/files/2021-03/2021%20NMVW%20Provenance%202%20%28Benin%29%20e-book.pdf</x:v>
      </x:c>
      <x:c r="R20" s="15" t="str">
        <x:v>Yes</x:v>
      </x:c>
      <x:c r="S20" s="15" t="str">
        <x:v>Confirmed collection-level</x:v>
      </x:c>
      <x:c r="T20" s="15" t="str">
        <x:v>High</x:v>
      </x:c>
      <x:c r="U20" s="15" t="str">
        <x:v>Need reconcile 184/114+9 with returned 119.</x:v>
      </x:c>
    </x:row>
    <x:row r="21">
      <x:c r="A21" s="15" t="n">
        <x:v>4</x:v>
      </x:c>
      <x:c r="B21" s="15" t="str">
        <x:v>Netherlands</x:v>
      </x:c>
      <x:c r="C21" s="15" t="str">
        <x:v>Leiden</x:v>
      </x:c>
      <x:c r="D21" s="15" t="str">
        <x:v>Museum Volkenkunde / Wereldmuseum Leiden</x:v>
      </x:c>
      <x:c r="E21" s="15" t="str">
        <x:v>Object</x:v>
      </x:c>
      <x:c r="F21" s="15" t="str">
        <x:v>Relief plaque</x:v>
      </x:c>
      <x:c r="G21" s="15" t="str">
        <x:v>Relief plaque</x:v>
      </x:c>
      <x:c r="H21" s="15" t="str">
        <x:v>Benin City, Nigeria</x:v>
      </x:c>
      <x:c r="I21" s="15" t="str">
        <x:v>Not stated</x:v>
      </x:c>
      <x:c r="J21" s="15" t="str">
        <x:v>Brass / bronze</x:v>
      </x:c>
      <x:c r="K21" s="15" t="str">
        <x:v>RV-1164-1</x:v>
      </x:c>
      <x:c r="L21" s="15" t="str">
        <x:v>28 Mar 1898</x:v>
      </x:c>
      <x:c r="M21" s="15" t="str">
        <x:v>Purchased from Prof. J. Brinckmann</x:v>
      </x:c>
      <x:c r="N21" s="15" t="str">
        <x:v>Proven link to 1897 British military campaign</x:v>
      </x:c>
      <x:c r="O21" s="15" t="str">
        <x:v>Digital Benin ID not captured</x:v>
      </x:c>
      <x:c r="P21" s="15" t="str">
        <x:v>Likely among restitution-review corpus; current physical status to verify after 2025 return</x:v>
      </x:c>
      <x:c r="Q21" s="15" t="str">
        <x:v>https://amsterdam.wereldmuseum.nl/sites/default/files/2021-03/2021%20NMVW%20Provenance%202%20%28Benin%29%20e-book.pdf</x:v>
      </x:c>
      <x:c r="R21" s="15" t="str">
        <x:v>Likely</x:v>
      </x:c>
      <x:c r="S21" s="15" t="str">
        <x:v>Confirmed</x:v>
      </x:c>
      <x:c r="T21" s="15" t="str">
        <x:v>High</x:v>
      </x:c>
      <x:c r="U21" s="15" t="str">
        <x:v>Good Netherlands object anchor.</x:v>
      </x:c>
    </x:row>
    <x:row r="22">
      <x:c r="A22" s="15" t="n">
        <x:v>4</x:v>
      </x:c>
      <x:c r="B22" s="15" t="str">
        <x:v>Netherlands</x:v>
      </x:c>
      <x:c r="C22" s="15" t="str">
        <x:v>Rotterdam</x:v>
      </x:c>
      <x:c r="D22" s="15" t="str">
        <x:v>Wereldmuseum Rotterdam</x:v>
      </x:c>
      <x:c r="E22" s="15" t="str">
        <x:v>Object</x:v>
      </x:c>
      <x:c r="F22" s="15" t="str">
        <x:v>Relief plaque</x:v>
      </x:c>
      <x:c r="G22" s="15" t="str">
        <x:v>Relief plaque</x:v>
      </x:c>
      <x:c r="H22" s="15" t="str">
        <x:v>Benin City, Nigeria</x:v>
      </x:c>
      <x:c r="I22" s="15" t="str">
        <x:v>Not stated</x:v>
      </x:c>
      <x:c r="J22" s="15" t="str">
        <x:v>Brass / bronze</x:v>
      </x:c>
      <x:c r="K22" s="15" t="str">
        <x:v>WM-15985</x:v>
      </x:c>
      <x:c r="L22" s="15" t="str">
        <x:v>1909</x:v>
      </x:c>
      <x:c r="M22" s="15" t="str">
        <x:v>Purchased from Museum für Völkerkunde Hamburg / MARKK predecessor</x:v>
      </x:c>
      <x:c r="N22" s="15" t="str">
        <x:v>Proven link to 1897 British military campaign</x:v>
      </x:c>
      <x:c r="O22" s="15" t="str">
        <x:v>Digital Benin ID not captured</x:v>
      </x:c>
      <x:c r="P22" s="15" t="str">
        <x:v>Likely in restitution-review corpus; status to verify after 2025 return</x:v>
      </x:c>
      <x:c r="Q22" s="15" t="str">
        <x:v>https://amsterdam.wereldmuseum.nl/sites/default/files/2021-03/2021%20NMVW%20Provenance%202%20%28Benin%29%20e-book.pdf</x:v>
      </x:c>
      <x:c r="R22" s="15" t="str">
        <x:v>Likely</x:v>
      </x:c>
      <x:c r="S22" s="15" t="str">
        <x:v>Confirmed</x:v>
      </x:c>
      <x:c r="T22" s="15" t="str">
        <x:v>High</x:v>
      </x:c>
      <x:c r="U22" s="15" t="str">
        <x:v>Netherlands-Hamburg provenance bridge.</x:v>
      </x:c>
    </x:row>
    <x:row r="23">
      <x:c r="A23" s="15" t="n">
        <x:v>4</x:v>
      </x:c>
      <x:c r="B23" s="15" t="str">
        <x:v>Sweden</x:v>
      </x:c>
      <x:c r="C23" s="15" t="str">
        <x:v>Stockholm</x:v>
      </x:c>
      <x:c r="D23" s="15" t="str">
        <x:v>Etnografiska museet / Världskulturmuseerna</x:v>
      </x:c>
      <x:c r="E23" s="15" t="str">
        <x:v>Collection</x:v>
      </x:c>
      <x:c r="F23" s="15" t="str">
        <x:v>Stockholm Benin collection</x:v>
      </x:c>
      <x:c r="G23" s="15" t="str">
        <x:v>Collection</x:v>
      </x:c>
      <x:c r="H23" s="15" t="str">
        <x:v>Edo people / Kingdom of Benin</x:v>
      </x:c>
      <x:c r="I23" s="15" t="str">
        <x:v>Various</x:v>
      </x:c>
      <x:c r="J23" s="15" t="str">
        <x:v>Copper alloy, ivory, wood</x:v>
      </x:c>
      <x:c r="K23" s="15" t="str">
        <x:v>39 restitution-request objects; 35 Edo objects on view in 2023</x:v>
      </x:c>
      <x:c r="L23" s="15" t="str">
        <x:v>Various</x:v>
      </x:c>
      <x:c r="M23" s="15" t="str">
        <x:v>Swedish museum authority requested permission to return 39 objects looted from Benin in 1897</x:v>
      </x:c>
      <x:c r="N23" s="15" t="str">
        <x:v>39 objects identified as 1897-looted</x:v>
      </x:c>
      <x:c r="O23" s="15" t="str">
        <x:v>Digital Benin IDs not captured</x:v>
      </x:c>
      <x:c r="P23" s="15" t="str">
        <x:v>Current post-2023 government/restitution status needs update</x:v>
      </x:c>
      <x:c r="Q23" s="15" t="str">
        <x:v>https://www.varldskulturmuseerna.se/samlingarna/aterlamnande-av-foremal-ur-samlingarna/benin-aterlamnande/</x:v>
      </x:c>
      <x:c r="R23" s="15" t="str">
        <x:v>Yes</x:v>
      </x:c>
      <x:c r="S23" s="15" t="str">
        <x:v>Confirmed collection-level</x:v>
      </x:c>
      <x:c r="T23" s="15" t="str">
        <x:v>High</x:v>
      </x:c>
      <x:c r="U23" s="15" t="str">
        <x:v>Need complete object list.</x:v>
      </x:c>
    </x:row>
    <x:row r="24">
      <x:c r="A24" s="15" t="n">
        <x:v>4</x:v>
      </x:c>
      <x:c r="B24" s="15" t="str">
        <x:v>Sweden</x:v>
      </x:c>
      <x:c r="C24" s="15" t="str">
        <x:v>Stockholm</x:v>
      </x:c>
      <x:c r="D24" s="15" t="str">
        <x:v>Etnografiska museet / Världskulturmuseerna</x:v>
      </x:c>
      <x:c r="E24" s="15" t="str">
        <x:v>Object</x:v>
      </x:c>
      <x:c r="F24" s="15" t="str">
        <x:v>Bronshuvud, minneshuvud / Commemorative head of an Iyoba</x:v>
      </x:c>
      <x:c r="G24" s="15" t="str">
        <x:v>Commemorative head</x:v>
      </x:c>
      <x:c r="H24" s="15" t="str">
        <x:v>Edo; Benin City, Edo State, Nigeria</x:v>
      </x:c>
      <x:c r="I24" s="15" t="str">
        <x:v>19th century in exhibition text</x:v>
      </x:c>
      <x:c r="J24" s="15" t="str">
        <x:v>Bronze / brass</x:v>
      </x:c>
      <x:c r="K24" s="15" t="str">
        <x:v>1900.01.0001</x:v>
      </x:c>
      <x:c r="L24" s="15" t="str">
        <x:v>1900</x:v>
      </x:c>
      <x:c r="M24" s="15" t="str">
        <x:v>Collector W. D. Webster; acquired from Åke Sjögren</x:v>
      </x:c>
      <x:c r="N24" s="15" t="str">
        <x:v>Part of Stockholm Benin corpus; object-level 1897 link needs cross-check</x:v>
      </x:c>
      <x:c r="O24" s="15" t="str">
        <x:v>Carlotta references Digital Benin; exact ID not captured</x:v>
      </x:c>
      <x:c r="P24" s="15" t="str">
        <x:v>Current status unknown; may be in 39-object restitution request</x:v>
      </x:c>
      <x:c r="Q24" s="15" t="str">
        <x:v>https://collections.smvk.se/carlotta-em/web/object/1238907</x:v>
      </x:c>
      <x:c r="R24" s="15" t="str">
        <x:v>Yes / likely</x:v>
      </x:c>
      <x:c r="S24" s="15" t="str">
        <x:v>Confirmed Benin</x:v>
      </x:c>
      <x:c r="T24" s="15" t="str">
        <x:v>High</x:v>
      </x:c>
      <x:c r="U24" s="15" t="str">
        <x:v>Local name Uhunmwu-Elao.</x:v>
      </x:c>
    </x:row>
    <x:row r="25">
      <x:c r="A25" s="15" t="n">
        <x:v>4</x:v>
      </x:c>
      <x:c r="B25" s="15" t="str">
        <x:v>United States</x:v>
      </x:c>
      <x:c r="C25" s="15" t="str">
        <x:v>Chicago</x:v>
      </x:c>
      <x:c r="D25" s="15" t="str">
        <x:v>Field Museum</x:v>
      </x:c>
      <x:c r="E25" s="15" t="str">
        <x:v>Collection</x:v>
      </x:c>
      <x:c r="F25" s="15" t="str">
        <x:v>Field Museum Benin collection</x:v>
      </x:c>
      <x:c r="G25" s="15" t="str">
        <x:v>Collection</x:v>
      </x:c>
      <x:c r="H25" s="15" t="str">
        <x:v>Edo / Benin Kingdom</x:v>
      </x:c>
      <x:c r="I25" s="15" t="str">
        <x:v>Various</x:v>
      </x:c>
      <x:c r="J25" s="15" t="str">
        <x:v>Bronze, ivory, wood</x:v>
      </x:c>
      <x:c r="K25" s="15" t="str">
        <x:v>393 items reported by Digital Benin-focused reporting</x:v>
      </x:c>
      <x:c r="L25" s="15" t="str">
        <x:v>Various</x:v>
      </x:c>
      <x:c r="M25" s="15" t="str">
        <x:v>Field Museum listed as major holder</x:v>
      </x:c>
      <x:c r="N25" s="15" t="str">
        <x:v>Object-level 1897 provenance varies</x:v>
      </x:c>
      <x:c r="O25" s="15" t="str">
        <x:v>Digital Benin likely includes Field Museum records; IDs not captured</x:v>
      </x:c>
      <x:c r="P25" s="15" t="str">
        <x:v>No restitution agreement/status found in first pass</x:v>
      </x:c>
      <x:c r="Q25" s="15" t="str">
        <x:v>https://hyperallergic.com/new-online-database-tracks-benin-bronzes/</x:v>
      </x:c>
      <x:c r="R25" s="15" t="str">
        <x:v>Yes</x:v>
      </x:c>
      <x:c r="S25" s="15" t="str">
        <x:v>Confirmed collection-level</x:v>
      </x:c>
      <x:c r="T25" s="15" t="str">
        <x:v>High</x:v>
      </x:c>
      <x:c r="U25" s="15" t="str">
        <x:v>One of largest US holdings.</x:v>
      </x:c>
    </x:row>
    <x:row r="26">
      <x:c r="A26" s="15" t="n">
        <x:v>4</x:v>
      </x:c>
      <x:c r="B26" s="15" t="str">
        <x:v>United States</x:v>
      </x:c>
      <x:c r="C26" s="15" t="str">
        <x:v>Chicago</x:v>
      </x:c>
      <x:c r="D26" s="15" t="str">
        <x:v>Field Museum</x:v>
      </x:c>
      <x:c r="E26" s="15" t="str">
        <x:v>Object</x:v>
      </x:c>
      <x:c r="F26" s="15" t="str">
        <x:v>Plaque</x:v>
      </x:c>
      <x:c r="G26" s="15" t="str">
        <x:v>Plaque</x:v>
      </x:c>
      <x:c r="H26" s="15" t="str">
        <x:v>Edo</x:v>
      </x:c>
      <x:c r="I26" s="15" t="str">
        <x:v>Not stated</x:v>
      </x:c>
      <x:c r="J26" s="15" t="str">
        <x:v>Bronze / metal</x:v>
      </x:c>
      <x:c r="K26" s="15" t="str">
        <x:v>FMNH 8259.nosub[1]</x:v>
      </x:c>
      <x:c r="L26" s="15" t="str">
        <x:v>Not captured</x:v>
      </x:c>
      <x:c r="M26" s="15" t="str">
        <x:v>Field Museum catalogue record</x:v>
      </x:c>
      <x:c r="N26" s="15" t="str">
        <x:v>Benin Kingdom / Benin City; object-specific 1897 not captured</x:v>
      </x:c>
      <x:c r="O26" s="15" t="str">
        <x:v>Digital Benin ID not captured</x:v>
      </x:c>
      <x:c r="P26" s="15" t="str">
        <x:v>Current ownership/status not found</x:v>
      </x:c>
      <x:c r="Q26" s="15" t="str">
        <x:v>https://collections-anthropology.fieldmuseum.org/catalogue/1313834</x:v>
      </x:c>
      <x:c r="R26" s="15" t="str">
        <x:v>Yes</x:v>
      </x:c>
      <x:c r="S26" s="15" t="str">
        <x:v>Confirmed Benin</x:v>
      </x:c>
      <x:c r="T26" s="15" t="str">
        <x:v>High</x:v>
      </x:c>
      <x:c r="U26" s="15" t="str">
        <x:v>Object-specific provenance needed.</x:v>
      </x:c>
    </x:row>
    <x:row r="27">
      <x:c r="A27" s="15" t="n">
        <x:v>4</x:v>
      </x:c>
      <x:c r="B27" s="15" t="str">
        <x:v>United States</x:v>
      </x:c>
      <x:c r="C27" s="15" t="str">
        <x:v>Chicago</x:v>
      </x:c>
      <x:c r="D27" s="15" t="str">
        <x:v>Art Institute of Chicago</x:v>
      </x:c>
      <x:c r="E27" s="15" t="str">
        <x:v>Object</x:v>
      </x:c>
      <x:c r="F27" s="15" t="str">
        <x:v>Head (Uhunmwun Elao)</x:v>
      </x:c>
      <x:c r="G27" s="15" t="str">
        <x:v>Commemorative head</x:v>
      </x:c>
      <x:c r="H27" s="15" t="str">
        <x:v>Edo, Kingdom of Benin, Nigeria</x:v>
      </x:c>
      <x:c r="I27" s="15" t="str">
        <x:v>18th / early 19th century</x:v>
      </x:c>
      <x:c r="J27" s="15" t="str">
        <x:v>Brass</x:v>
      </x:c>
      <x:c r="K27" s="15" t="str">
        <x:v>AIC artwork ID 180750</x:v>
      </x:c>
      <x:c r="L27" s="15" t="str">
        <x:v>Not captured</x:v>
      </x:c>
      <x:c r="M27" s="15" t="str">
        <x:v>Not captured in first pass</x:v>
      </x:c>
      <x:c r="N27" s="15" t="str">
        <x:v>Needs object-specific provenance check</x:v>
      </x:c>
      <x:c r="O27" s="15" t="str">
        <x:v>Digital Benin ID not captured</x:v>
      </x:c>
      <x:c r="P27" s="15" t="str">
        <x:v>Current ownership/status unknown</x:v>
      </x:c>
      <x:c r="Q27" s="15" t="str">
        <x:v>https://www.artic.edu/artworks/180750/head-uhunmwun-elao</x:v>
      </x:c>
      <x:c r="R27" s="15" t="str">
        <x:v>Yes</x:v>
      </x:c>
      <x:c r="S27" s="15" t="str">
        <x:v>Confirmed Benin</x:v>
      </x:c>
      <x:c r="T27" s="15" t="str">
        <x:v>Medium</x:v>
      </x:c>
      <x:c r="U27" s="15" t="str">
        <x:v>Strong AIC anchor.</x:v>
      </x:c>
    </x:row>
    <x:row r="28">
      <x:c r="A28" s="15" t="n">
        <x:v>5</x:v>
      </x:c>
      <x:c r="B28" s="15" t="str">
        <x:v>United States</x:v>
      </x:c>
      <x:c r="C28" s="15" t="str">
        <x:v>Boston</x:v>
      </x:c>
      <x:c r="D28" s="15" t="str">
        <x:v>Museum of Fine Arts, Boston</x:v>
      </x:c>
      <x:c r="E28" s="15" t="str">
        <x:v>Collection</x:v>
      </x:c>
      <x:c r="F28" s="15" t="str">
        <x:v>MFA Benin Kingdom collection</x:v>
      </x:c>
      <x:c r="G28" s="15" t="str">
        <x:v>Collection</x:v>
      </x:c>
      <x:c r="H28" s="15" t="str">
        <x:v>Edo peoples / Benin Kingdom</x:v>
      </x:c>
      <x:c r="I28" s="15" t="str">
        <x:v>Various</x:v>
      </x:c>
      <x:c r="J28" s="15" t="str">
        <x:v>Copper alloy, brass, terracotta, iron, ivory</x:v>
      </x:c>
      <x:c r="K28" s="15" t="str">
        <x:v>Collection-level</x:v>
      </x:c>
      <x:c r="L28" s="15" t="str">
        <x:v>Major Lehman promised gift accepted from 2013; partly rescinded</x:v>
      </x:c>
      <x:c r="M28" s="15" t="str">
        <x:v>MFA says gallery closed Apr 28 2025; five Benin Kingdom objects after Lehman loans withdrawn</x:v>
      </x:c>
      <x:c r="N28" s="15" t="str">
        <x:v>Two confirmed 1897-looted objects restituted to Oba in June 2025; three remaining objects inconclusive</x:v>
      </x:c>
      <x:c r="O28" s="15" t="str">
        <x:v>Digital Benin IDs not captured</x:v>
      </x:c>
      <x:c r="P28" s="15" t="str">
        <x:v>Updated: 2 objects returned to Oba in 2025; 3 MFA-owned objects remain with inconclusive provenance</x:v>
      </x:c>
      <x:c r="Q28" s="15" t="str">
        <x:v>https://www.mfa.org/collections/provenance/colonial-era-provenance</x:v>
      </x:c>
      <x:c r="R28" s="15" t="str">
        <x:v>Yes</x:v>
      </x:c>
      <x:c r="S28" s="15" t="str">
        <x:v>Confirmed collection-level</x:v>
      </x:c>
      <x:c r="T28" s="15" t="str">
        <x:v>High</x:v>
      </x:c>
      <x:c r="U28" s="15" t="str">
        <x:v>Restitution-first Boston case.</x:v>
      </x:c>
    </x:row>
    <x:row r="29">
      <x:c r="A29" s="15" t="n">
        <x:v>5</x:v>
      </x:c>
      <x:c r="B29" s="15" t="str">
        <x:v>United States</x:v>
      </x:c>
      <x:c r="C29" s="15" t="str">
        <x:v>Boston</x:v>
      </x:c>
      <x:c r="D29" s="15" t="str">
        <x:v>Museum of Fine Arts, Boston</x:v>
      </x:c>
      <x:c r="E29" s="15" t="str">
        <x:v>Object</x:v>
      </x:c>
      <x:c r="F29" s="15" t="str">
        <x:v>Commemorative Head</x:v>
      </x:c>
      <x:c r="G29" s="15" t="str">
        <x:v>Commemorative head</x:v>
      </x:c>
      <x:c r="H29" s="15" t="str">
        <x:v>Benin Kingdom / Edo</x:v>
      </x:c>
      <x:c r="I29" s="15" t="str">
        <x:v>16th-17th century</x:v>
      </x:c>
      <x:c r="J29" s="15" t="str">
        <x:v>Terracotta and iron</x:v>
      </x:c>
      <x:c r="K29" s="15" t="str">
        <x:v>Former MFA 2013.223</x:v>
      </x:c>
      <x:c r="L29" s="15" t="str">
        <x:v>Donated 2013; returned 2025</x:v>
      </x:c>
      <x:c r="M29" s="15" t="str">
        <x:v>London art market 1899; William Cutter to W.D. Webster; Pitt-Rivers Museum Farnham; Robert Owen Lehman</x:v>
      </x:c>
      <x:c r="N29" s="15" t="str">
        <x:v>MFA says pillaged by British soldiers in 1897</x:v>
      </x:c>
      <x:c r="O29" s="15" t="str">
        <x:v>Digital Benin ID not captured</x:v>
      </x:c>
      <x:c r="P29" s="15" t="str">
        <x:v>Returned/restituted to Oba of Benin in June 2025</x:v>
      </x:c>
      <x:c r="Q29" s="15" t="str">
        <x:v>https://www.mfa.org/collections/provenance/ownership-resolutions</x:v>
      </x:c>
      <x:c r="R29" s="15" t="str">
        <x:v>Likely</x:v>
      </x:c>
      <x:c r="S29" s="15" t="str">
        <x:v>Confirmed, restituted</x:v>
      </x:c>
      <x:c r="T29" s="15" t="str">
        <x:v>High</x:v>
      </x:c>
      <x:c r="U29" s="15" t="str">
        <x:v>Important Pitt-Rivers/Farnham link.</x:v>
      </x:c>
    </x:row>
    <x:row r="30">
      <x:c r="A30" s="15" t="n">
        <x:v>5</x:v>
      </x:c>
      <x:c r="B30" s="15" t="str">
        <x:v>United States</x:v>
      </x:c>
      <x:c r="C30" s="15" t="str">
        <x:v>Boston</x:v>
      </x:c>
      <x:c r="D30" s="15" t="str">
        <x:v>Museum of Fine Arts, Boston</x:v>
      </x:c>
      <x:c r="E30" s="15" t="str">
        <x:v>Object</x:v>
      </x:c>
      <x:c r="F30" s="15" t="str">
        <x:v>Relief Plaque Showing Two Officials with Raised Swords</x:v>
      </x:c>
      <x:c r="G30" s="15" t="str">
        <x:v>Relief plaque</x:v>
      </x:c>
      <x:c r="H30" s="15" t="str">
        <x:v>Royal Brass-Casting Guild / Edo peoples, Benin Kingdom</x:v>
      </x:c>
      <x:c r="I30" s="15" t="str">
        <x:v>About 1550-70</x:v>
      </x:c>
      <x:c r="J30" s="15" t="str">
        <x:v>Copper alloy / bronze</x:v>
      </x:c>
      <x:c r="K30" s="15" t="str">
        <x:v>Former MFA 2018.223</x:v>
      </x:c>
      <x:c r="L30" s="15" t="str">
        <x:v>Donated 2018; returned 2025</x:v>
      </x:c>
      <x:c r="M30" s="15" t="str">
        <x:v>Crown Agent of Niger Coast Protectorate; Pitt-Rivers Museum Farnham; Robert Owen Lehman</x:v>
      </x:c>
      <x:c r="N30" s="15" t="str">
        <x:v>MFA says pillaged during 1897 attack</x:v>
      </x:c>
      <x:c r="O30" s="15" t="str">
        <x:v>Digital Benin ID not captured</x:v>
      </x:c>
      <x:c r="P30" s="15" t="str">
        <x:v>Returned/restituted to Oba of Benin in June 2025</x:v>
      </x:c>
      <x:c r="Q30" s="15" t="str">
        <x:v>https://www.mfa.org/collections/provenance/ownership-resolutions</x:v>
      </x:c>
      <x:c r="R30" s="15" t="str">
        <x:v>Yes</x:v>
      </x:c>
      <x:c r="S30" s="15" t="str">
        <x:v>Confirmed, restituted</x:v>
      </x:c>
      <x:c r="T30" s="15" t="str">
        <x:v>High</x:v>
      </x:c>
      <x:c r="U30" s="15" t="str">
        <x:v>Important Pitt-Rivers/Farnham link.</x:v>
      </x:c>
    </x:row>
    <x:row r="31">
      <x:c r="A31" s="15" t="n">
        <x:v>5</x:v>
      </x:c>
      <x:c r="B31" s="15" t="str">
        <x:v>United States</x:v>
      </x:c>
      <x:c r="C31" s="15" t="str">
        <x:v>New York</x:v>
      </x:c>
      <x:c r="D31" s="15" t="str">
        <x:v>Metropolitan Museum of Art</x:v>
      </x:c>
      <x:c r="E31" s="15" t="str">
        <x:v>Collection</x:v>
      </x:c>
      <x:c r="F31" s="15" t="str">
        <x:v>The Met Benin / Edo holdings</x:v>
      </x:c>
      <x:c r="G31" s="15" t="str">
        <x:v>Collection</x:v>
      </x:c>
      <x:c r="H31" s="15" t="str">
        <x:v>Edo peoples / Court of Benin</x:v>
      </x:c>
      <x:c r="I31" s="15" t="str">
        <x:v>15th-19th centuries</x:v>
      </x:c>
      <x:c r="J31" s="15" t="str">
        <x:v>Brass, iron, ivory</x:v>
      </x:c>
      <x:c r="K31" s="15" t="str">
        <x:v>Collection-level</x:v>
      </x:c>
      <x:c r="L31" s="15" t="str">
        <x:v>Rockefeller and Perls collections, gifts/bequests</x:v>
      </x:c>
      <x:c r="M31" s="15" t="str">
        <x:v>Met returned two 16th-century plaques to Nigeria in 2021</x:v>
      </x:c>
      <x:c r="N31" s="15" t="str">
        <x:v>Some returned; current objects require object-level evaluation</x:v>
      </x:c>
      <x:c r="O31" s="15" t="str">
        <x:v>Digital Benin IDs not captured</x:v>
      </x:c>
      <x:c r="P31" s="15" t="str">
        <x:v>Two plaques returned in 2021; other Benin objects remain</x:v>
      </x:c>
      <x:c r="Q31" s="15" t="str">
        <x:v>https://www.metmuseum.org/press-releases/met-and-ncmm-announcement-2021-news</x:v>
      </x:c>
      <x:c r="R31" s="15" t="str">
        <x:v>Yes</x:v>
      </x:c>
      <x:c r="S31" s="15" t="str">
        <x:v>Confirmed collection-level</x:v>
      </x:c>
      <x:c r="T31" s="15" t="str">
        <x:v>High</x:v>
      </x:c>
      <x:c r="U31" s="15" t="str">
        <x:v>Major New York node.</x:v>
      </x:c>
    </x:row>
    <x:row r="32">
      <x:c r="A32" s="15" t="n">
        <x:v>5</x:v>
      </x:c>
      <x:c r="B32" s="15" t="str">
        <x:v>United States</x:v>
      </x:c>
      <x:c r="C32" s="15" t="str">
        <x:v>New York</x:v>
      </x:c>
      <x:c r="D32" s="15" t="str">
        <x:v>Metropolitan Museum of Art</x:v>
      </x:c>
      <x:c r="E32" s="15" t="str">
        <x:v>Object</x:v>
      </x:c>
      <x:c r="F32" s="15" t="str">
        <x:v>Ùhúnmwèlaò / head of an ọ́bà</x:v>
      </x:c>
      <x:c r="G32" s="15" t="str">
        <x:v>Commemorative head</x:v>
      </x:c>
      <x:c r="H32" s="15" t="str">
        <x:v>Edo peoples / Court of Benin</x:v>
      </x:c>
      <x:c r="I32" s="15" t="str">
        <x:v>Early 15th-mid-16th century</x:v>
      </x:c>
      <x:c r="J32" s="15" t="str">
        <x:v>Brass, iron</x:v>
      </x:c>
      <x:c r="K32" s="15" t="str">
        <x:v>1979.206.86</x:v>
      </x:c>
      <x:c r="L32" s="15" t="str">
        <x:v>Bequest of Nelson A. Rockefeller, 1979</x:v>
      </x:c>
      <x:c r="M32" s="15" t="str">
        <x:v>Michael C. Rockefeller Memorial Collection</x:v>
      </x:c>
      <x:c r="N32" s="15" t="str">
        <x:v>Object-specific 1897 removal not established in fetched record</x:v>
      </x:c>
      <x:c r="O32" s="15" t="str">
        <x:v>Digital Benin ID not captured</x:v>
      </x:c>
      <x:c r="P32" s="15" t="str">
        <x:v>Current Met holding; on view per record</x:v>
      </x:c>
      <x:c r="Q32" s="15" t="str">
        <x:v>https://www.metmuseum.org/art/collection/search/312290</x:v>
      </x:c>
      <x:c r="R32" s="15" t="str">
        <x:v>Yes</x:v>
      </x:c>
      <x:c r="S32" s="15" t="str">
        <x:v>Confirmed Benin</x:v>
      </x:c>
      <x:c r="T32" s="15" t="str">
        <x:v>Medium</x:v>
      </x:c>
      <x:c r="U32" s="15" t="str">
        <x:v>On view at Met Fifth Avenue Gallery 342.</x:v>
      </x:c>
    </x:row>
    <x:row r="33">
      <x:c r="A33" s="15" t="n">
        <x:v>5</x:v>
      </x:c>
      <x:c r="B33" s="15" t="str">
        <x:v>United States</x:v>
      </x:c>
      <x:c r="C33" s="15" t="str">
        <x:v>New York</x:v>
      </x:c>
      <x:c r="D33" s="15" t="str">
        <x:v>Brooklyn Museum</x:v>
      </x:c>
      <x:c r="E33" s="15" t="str">
        <x:v>Object</x:v>
      </x:c>
      <x:c r="F33" s="15" t="str">
        <x:v>Plaque / Ama</x:v>
      </x:c>
      <x:c r="G33" s="15" t="str">
        <x:v>Relief plaque / architectural element</x:v>
      </x:c>
      <x:c r="H33" s="15" t="str">
        <x:v>Edo</x:v>
      </x:c>
      <x:c r="I33" s="15" t="str">
        <x:v>16th or 17th century</x:v>
      </x:c>
      <x:c r="J33" s="15" t="str">
        <x:v>Copper alloy</x:v>
      </x:c>
      <x:c r="K33" s="15" t="str">
        <x:v>56.6.74</x:v>
      </x:c>
      <x:c r="L33" s="15" t="str">
        <x:v>Gift of Arturo and Paul Peralta-Ramos</x:v>
      </x:c>
      <x:c r="M33" s="15" t="str">
        <x:v>Detailed provenance not captured</x:v>
      </x:c>
      <x:c r="N33" s="15" t="str">
        <x:v>Confirmed Benin City object; 1897 link unresolved</x:v>
      </x:c>
      <x:c r="O33" s="15" t="str">
        <x:v>Digital Benin ID not captured</x:v>
      </x:c>
      <x:c r="P33" s="15" t="str">
        <x:v>Current holding; not on view per record</x:v>
      </x:c>
      <x:c r="Q33" s="15" t="str">
        <x:v>https://www.brooklynmuseum.org/objects/4779</x:v>
      </x:c>
      <x:c r="R33" s="15" t="str">
        <x:v>Yes</x:v>
      </x:c>
      <x:c r="S33" s="15" t="str">
        <x:v>Confirmed Benin</x:v>
      </x:c>
      <x:c r="T33" s="15" t="str">
        <x:v>Medium</x:v>
      </x:c>
      <x:c r="U33" s="15" t="str">
        <x:v>Need provenance.</x:v>
      </x:c>
    </x:row>
    <x:row r="34">
      <x:c r="A34" s="15" t="n">
        <x:v>5</x:v>
      </x:c>
      <x:c r="B34" s="15" t="str">
        <x:v>United States</x:v>
      </x:c>
      <x:c r="C34" s="15" t="str">
        <x:v>Washington, D.C.</x:v>
      </x:c>
      <x:c r="D34" s="15" t="str">
        <x:v>Smithsonian National Museum of African Art</x:v>
      </x:c>
      <x:c r="E34" s="15" t="str">
        <x:v>Collection</x:v>
      </x:c>
      <x:c r="F34" s="15" t="str">
        <x:v>NMAfA Benin Bronzes collection</x:v>
      </x:c>
      <x:c r="G34" s="15" t="str">
        <x:v>Collection</x:v>
      </x:c>
      <x:c r="H34" s="15" t="str">
        <x:v>Edo peoples / Benin Kingdom court style</x:v>
      </x:c>
      <x:c r="I34" s="15" t="str">
        <x:v>Late 15th/early 16th-late 19th century</x:v>
      </x:c>
      <x:c r="J34" s="15" t="str">
        <x:v>Copper alloy, ivory, terracotta, wood, iron, coral beads</x:v>
      </x:c>
      <x:c r="K34" s="15" t="str">
        <x:v>39 Nigeria objects; 29 1897-linked</x:v>
      </x:c>
      <x:c r="L34" s="15" t="str">
        <x:v>Purchase, transfer, donation, bequest; 20 from Hirshhorn</x:v>
      </x:c>
      <x:c r="M34" s="15" t="str">
        <x:v>2021 evaluation found 29 removed during 1897 raid</x:v>
      </x:c>
      <x:c r="N34" s="15" t="str">
        <x:v>Digital Benin IDs not captured</x:v>
      </x:c>
      <x:c r="O34" s="15" t="str">
        <x:v>29 returned to NCMM in Oct 2022; 9 remain at NMAfA on long-term loan; 20 physically returned to Nigeria</x:v>
      </x:c>
      <x:c r="P34" s="15" t="str">
        <x:v>https://www.si.edu/newsdesk/releases/smithsonian-returns-29-benin-bronzes-national-commission-museums-and-monuments</x:v>
      </x:c>
      <x:c r="Q34" s="15" t="str">
        <x:v>Yes</x:v>
      </x:c>
      <x:c r="R34" s="15" t="str">
        <x:v>Confirmed, partly restituted</x:v>
      </x:c>
      <x:c r="S34" s="15" t="str">
        <x:v>High</x:v>
      </x:c>
      <x:c r="T34" s="15" t="str">
        <x:v>Washington restitution-first case.</x:v>
      </x:c>
      <x:c r="U34" s="15"/>
    </x:row>
    <x:row r="35">
      <x:c r="A35" s="15" t="n">
        <x:v>5</x:v>
      </x:c>
      <x:c r="B35" s="15" t="str">
        <x:v>United States</x:v>
      </x:c>
      <x:c r="C35" s="15" t="str">
        <x:v>Washington, D.C.</x:v>
      </x:c>
      <x:c r="D35" s="15" t="str">
        <x:v>National Gallery of Art</x:v>
      </x:c>
      <x:c r="E35" s="15" t="str">
        <x:v>Object</x:v>
      </x:c>
      <x:c r="F35" s="15" t="str">
        <x:v>Fowl / Benin bronze cockerel</x:v>
      </x:c>
      <x:c r="G35" s="15" t="str">
        <x:v>Altar figure / fowl</x:v>
      </x:c>
      <x:c r="H35" s="15" t="str">
        <x:v>Court of Benin / Edo</x:v>
      </x:c>
      <x:c r="I35" s="15" t="str">
        <x:v>Mid-18th century</x:v>
      </x:c>
      <x:c r="J35" s="15" t="str">
        <x:v>Bronze / copper alloy</x:v>
      </x:c>
      <x:c r="K35" s="15" t="str">
        <x:v>Not captured</x:v>
      </x:c>
      <x:c r="L35" s="15" t="str">
        <x:v>Entered NGA in 1955 via J.J. Klejman gallery per reporting</x:v>
      </x:c>
      <x:c r="M35" s="15" t="str">
        <x:v>NGA returned one Benin bronze with Smithsonian ceremony</x:v>
      </x:c>
      <x:c r="N35" s="15" t="str">
        <x:v>Reported as stolen in 1897</x:v>
      </x:c>
      <x:c r="O35" s="15" t="str">
        <x:v>Digital Benin ID not captured</x:v>
      </x:c>
      <x:c r="P35" s="15" t="str">
        <x:v>Returned to Nigeria/NCMM in 2022</x:v>
      </x:c>
      <x:c r="Q35" s="15" t="str">
        <x:v>https://www.si.edu/newsdesk/releases/smithsonian-returns-29-benin-bronzes-national-commission-museums-and-monuments</x:v>
      </x:c>
      <x:c r="R35" s="15" t="str">
        <x:v>Yes</x:v>
      </x:c>
      <x:c r="S35" s="15" t="str">
        <x:v>Confirmed, returned</x:v>
      </x:c>
      <x:c r="T35" s="15" t="str">
        <x:v>Medium</x:v>
      </x:c>
      <x:c r="U35" s="15" t="str">
        <x:v>Need NGA primary object page.</x:v>
      </x:c>
    </x:row>
    <x:row r="36">
      <x:c r="A36" s="15" t="n">
        <x:v>6</x:v>
      </x:c>
      <x:c r="B36" s="15" t="str">
        <x:v>United States</x:v>
      </x:c>
      <x:c r="C36" s="15" t="str">
        <x:v>Philadelphia</x:v>
      </x:c>
      <x:c r="D36" s="15" t="str">
        <x:v>Penn Museum</x:v>
      </x:c>
      <x:c r="E36" s="15" t="str">
        <x:v>Collection</x:v>
      </x:c>
      <x:c r="F36" s="15" t="str">
        <x:v>Penn Museum Benin Kingdom collection</x:v>
      </x:c>
      <x:c r="G36" s="15" t="str">
        <x:v>Collection</x:v>
      </x:c>
      <x:c r="H36" s="15" t="str">
        <x:v>Edo / Benin Kingdom</x:v>
      </x:c>
      <x:c r="I36" s="15" t="str">
        <x:v>17th-20th century</x:v>
      </x:c>
      <x:c r="J36" s="15" t="str">
        <x:v>Bronzes and ivories</x:v>
      </x:c>
      <x:c r="K36" s="15" t="str">
        <x:v>Collection-level</x:v>
      </x:c>
      <x:c r="L36" s="15" t="str">
        <x:v>Various</x:v>
      </x:c>
      <x:c r="M36" s="15" t="str">
        <x:v>Penn African Gallery exhibits largest number of Benin Kingdom artifacts in Philadelphia</x:v>
      </x:c>
      <x:c r="N36" s="15" t="str">
        <x:v>1897 link not stated at collection-page level</x:v>
      </x:c>
      <x:c r="O36" s="15" t="str">
        <x:v>Digital Benin IDs not captured</x:v>
      </x:c>
      <x:c r="P36" s="15" t="str">
        <x:v>Current ownership/status unknown; object-level check needed</x:v>
      </x:c>
      <x:c r="Q36" s="15" t="str">
        <x:v>https://www.penn.museum/about-collections/curatorial-sections/african-section</x:v>
      </x:c>
      <x:c r="R36" s="15" t="str">
        <x:v>Yes</x:v>
      </x:c>
      <x:c r="S36" s="15" t="str">
        <x:v>Confirmed collection-level</x:v>
      </x:c>
      <x:c r="T36" s="15" t="str">
        <x:v>High</x:v>
      </x:c>
      <x:c r="U36" s="15" t="str">
        <x:v>Major Philadelphia node.</x:v>
      </x:c>
    </x:row>
    <x:row r="37">
      <x:c r="A37" s="15" t="n">
        <x:v>6</x:v>
      </x:c>
      <x:c r="B37" s="15" t="str">
        <x:v>United States</x:v>
      </x:c>
      <x:c r="C37" s="15" t="str">
        <x:v>Philadelphia</x:v>
      </x:c>
      <x:c r="D37" s="15" t="str">
        <x:v>Penn Museum</x:v>
      </x:c>
      <x:c r="E37" s="15" t="str">
        <x:v>Object</x:v>
      </x:c>
      <x:c r="F37" s="15" t="str">
        <x:v>Plaque</x:v>
      </x:c>
      <x:c r="G37" s="15" t="str">
        <x:v>Relief plaque</x:v>
      </x:c>
      <x:c r="H37" s="15" t="str">
        <x:v>Edo</x:v>
      </x:c>
      <x:c r="I37" s="15" t="str">
        <x:v>16th century CE</x:v>
      </x:c>
      <x:c r="J37" s="15" t="str">
        <x:v>Copper alloy</x:v>
      </x:c>
      <x:c r="K37" s="15" t="str">
        <x:v>29-94-3</x:v>
      </x:c>
      <x:c r="L37" s="15" t="str">
        <x:v>Not captured</x:v>
      </x:c>
      <x:c r="M37" s="15" t="str">
        <x:v>Penn catalogue record</x:v>
      </x:c>
      <x:c r="N37" s="15" t="str">
        <x:v>Confirmed Benin Kingdom object; object-specific 1897 chain not captured</x:v>
      </x:c>
      <x:c r="O37" s="15" t="str">
        <x:v>Digital Benin ID not captured</x:v>
      </x:c>
      <x:c r="P37" s="15" t="str">
        <x:v>Current Penn holding; on display per record</x:v>
      </x:c>
      <x:c r="Q37" s="15" t="str">
        <x:v>https://collections.penn.museum/collections/object/141264</x:v>
      </x:c>
      <x:c r="R37" s="15" t="str">
        <x:v>Yes / on display</x:v>
      </x:c>
      <x:c r="S37" s="15" t="str">
        <x:v>Confirmed Benin</x:v>
      </x:c>
      <x:c r="T37" s="15" t="str">
        <x:v>High</x:v>
      </x:c>
      <x:c r="U37" s="15" t="str">
        <x:v>Strong object-level Penn anchor.</x:v>
      </x:c>
    </x:row>
    <x:row r="38">
      <x:c r="A38" s="15" t="n">
        <x:v>6</x:v>
      </x:c>
      <x:c r="B38" s="15" t="str">
        <x:v>United States</x:v>
      </x:c>
      <x:c r="C38" s="15" t="str">
        <x:v>Philadelphia</x:v>
      </x:c>
      <x:c r="D38" s="15" t="str">
        <x:v>Barnes Foundation</x:v>
      </x:c>
      <x:c r="E38" s="15" t="str">
        <x:v>Object</x:v>
      </x:c>
      <x:c r="F38" s="15" t="str">
        <x:v>Standing Male Figure / Ewua</x:v>
      </x:c>
      <x:c r="G38" s="15" t="str">
        <x:v>Messenger figure</x:v>
      </x:c>
      <x:c r="H38" s="15" t="str">
        <x:v>Benin Kingdom / Edo</x:v>
      </x:c>
      <x:c r="I38" s="15" t="str">
        <x:v>16th century</x:v>
      </x:c>
      <x:c r="J38" s="15" t="str">
        <x:v>Not captured</x:v>
      </x:c>
      <x:c r="K38" s="15" t="str">
        <x:v>Not captured</x:v>
      </x:c>
      <x:c r="L38" s="15" t="str">
        <x:v>Not captured</x:v>
      </x:c>
      <x:c r="M38" s="15" t="str">
        <x:v>Barnes object page</x:v>
      </x:c>
      <x:c r="N38" s="15" t="str">
        <x:v>Object is Benin Kingdom; 1897 chain not captured</x:v>
      </x:c>
      <x:c r="O38" s="15" t="str">
        <x:v>Digital Benin ID not captured</x:v>
      </x:c>
      <x:c r="P38" s="15" t="str">
        <x:v>Current status unknown</x:v>
      </x:c>
      <x:c r="Q38" s="15" t="str">
        <x:v>https://collection.barnesfoundation.org/objects/8112/Standing-Male-Figure/</x:v>
      </x:c>
      <x:c r="R38" s="15" t="str">
        <x:v>Yes</x:v>
      </x:c>
      <x:c r="S38" s="15" t="str">
        <x:v>Confirmed Benin</x:v>
      </x:c>
      <x:c r="T38" s="15" t="str">
        <x:v>Medium</x:v>
      </x:c>
      <x:c r="U38" s="15" t="str">
        <x:v>Need accession/acquisition history.</x:v>
      </x:c>
    </x:row>
    <x:row r="39">
      <x:c r="A39" s="15" t="n">
        <x:v>6</x:v>
      </x:c>
      <x:c r="B39" s="15" t="str">
        <x:v>United States</x:v>
      </x:c>
      <x:c r="C39" s="15" t="str">
        <x:v>Cleveland</x:v>
      </x:c>
      <x:c r="D39" s="15" t="str">
        <x:v>Cleveland Museum of Art</x:v>
      </x:c>
      <x:c r="E39" s="15" t="str">
        <x:v>Collection</x:v>
      </x:c>
      <x:c r="F39" s="15" t="str">
        <x:v>CMA Benin Kingdom works</x:v>
      </x:c>
      <x:c r="G39" s="15" t="str">
        <x:v>Collection / in-gallery feature</x:v>
      </x:c>
      <x:c r="H39" s="15" t="str">
        <x:v>Benin Kingdom / Edo</x:v>
      </x:c>
      <x:c r="I39" s="15" t="str">
        <x:v>Various</x:v>
      </x:c>
      <x:c r="J39" s="15" t="str">
        <x:v>Various</x:v>
      </x:c>
      <x:c r="K39" s="15" t="str">
        <x:v>Eight works</x:v>
      </x:c>
      <x:c r="L39" s="15" t="str">
        <x:v>Acquired 1938-1999</x:v>
      </x:c>
      <x:c r="M39" s="15" t="str">
        <x:v>CMA feature examines acquisition history</x:v>
      </x:c>
      <x:c r="N39" s="15" t="str">
        <x:v>Object-specific 1897 links need extraction</x:v>
      </x:c>
      <x:c r="O39" s="15" t="str">
        <x:v>Digital Benin IDs not captured</x:v>
      </x:c>
      <x:c r="P39" s="15" t="str">
        <x:v>Current holding/status unknown object-by-object</x:v>
      </x:c>
      <x:c r="Q39" s="15" t="str">
        <x:v>https://www.clevelandart.org/articles/art-benin-kingdom</x:v>
      </x:c>
      <x:c r="R39" s="15" t="str">
        <x:v>Yes</x:v>
      </x:c>
      <x:c r="S39" s="15" t="str">
        <x:v>Confirmed collection-level</x:v>
      </x:c>
      <x:c r="T39" s="15" t="str">
        <x:v>High</x:v>
      </x:c>
      <x:c r="U39" s="15" t="str">
        <x:v>Need list of eight works.</x:v>
      </x:c>
    </x:row>
    <x:row r="40">
      <x:c r="A40" s="15" t="n">
        <x:v>6</x:v>
      </x:c>
      <x:c r="B40" s="15" t="str">
        <x:v>United States</x:v>
      </x:c>
      <x:c r="C40" s="15" t="str">
        <x:v>Detroit</x:v>
      </x:c>
      <x:c r="D40" s="15" t="str">
        <x:v>Detroit Institute of Arts</x:v>
      </x:c>
      <x:c r="E40" s="15" t="str">
        <x:v>Object</x:v>
      </x:c>
      <x:c r="F40" s="15" t="str">
        <x:v>Royal Portrait</x:v>
      </x:c>
      <x:c r="G40" s="15" t="str">
        <x:v>Royal head / portrait</x:v>
      </x:c>
      <x:c r="H40" s="15" t="str">
        <x:v>Benin / African</x:v>
      </x:c>
      <x:c r="I40" s="15" t="str">
        <x:v>1750-1850</x:v>
      </x:c>
      <x:c r="J40" s="15" t="str">
        <x:v>Cast bronze</x:v>
      </x:c>
      <x:c r="K40" s="15" t="str">
        <x:v>26.180</x:v>
      </x:c>
      <x:c r="L40" s="15" t="str">
        <x:v>City of Detroit purchase</x:v>
      </x:c>
      <x:c r="M40" s="15" t="str">
        <x:v>DIA object record</x:v>
      </x:c>
      <x:c r="N40" s="15" t="str">
        <x:v>Confirmed Benin object; 1897 chain not captured</x:v>
      </x:c>
      <x:c r="O40" s="15" t="str">
        <x:v>Digital Benin ID not captured</x:v>
      </x:c>
      <x:c r="P40" s="15" t="str">
        <x:v>Current DIA holding/status unknown</x:v>
      </x:c>
      <x:c r="Q40" s="15" t="str">
        <x:v>https://dia.org/collection/royal-portrait-34581</x:v>
      </x:c>
      <x:c r="R40" s="15" t="str">
        <x:v>Yes</x:v>
      </x:c>
      <x:c r="S40" s="15" t="str">
        <x:v>Confirmed Benin</x:v>
      </x:c>
      <x:c r="T40" s="15" t="str">
        <x:v>Medium</x:v>
      </x:c>
      <x:c r="U40" s="15" t="str">
        <x:v>Need provenance.</x:v>
      </x:c>
    </x:row>
    <x:row r="41">
      <x:c r="A41" s="15" t="n">
        <x:v>6</x:v>
      </x:c>
      <x:c r="B41" s="15" t="str">
        <x:v>United States</x:v>
      </x:c>
      <x:c r="C41" s="15" t="str">
        <x:v>Minneapolis</x:v>
      </x:c>
      <x:c r="D41" s="15" t="str">
        <x:v>Minneapolis Institute of Art</x:v>
      </x:c>
      <x:c r="E41" s="15" t="str">
        <x:v>Object</x:v>
      </x:c>
      <x:c r="F41" s="15" t="str">
        <x:v>Benin Memorial Head</x:v>
      </x:c>
      <x:c r="G41" s="15" t="str">
        <x:v>Memorial / commemorative head</x:v>
      </x:c>
      <x:c r="H41" s="15" t="str">
        <x:v>Edo, West Africa / Nigeria</x:v>
      </x:c>
      <x:c r="I41" s="15" t="str">
        <x:v>1550-1650</x:v>
      </x:c>
      <x:c r="J41" s="15" t="str">
        <x:v>Bronze</x:v>
      </x:c>
      <x:c r="K41" s="15" t="str">
        <x:v>Not captured</x:v>
      </x:c>
      <x:c r="L41" s="15" t="str">
        <x:v>John R. Van Derlip Fund</x:v>
      </x:c>
      <x:c r="M41" s="15" t="str">
        <x:v>MIA educational object page</x:v>
      </x:c>
      <x:c r="N41" s="15" t="str">
        <x:v>Confirmed Benin/Edo object; 1897 chain not captured</x:v>
      </x:c>
      <x:c r="O41" s="15" t="str">
        <x:v>Digital Benin ID not captured</x:v>
      </x:c>
      <x:c r="P41" s="15" t="str">
        <x:v>Current MIA holding/status unknown</x:v>
      </x:c>
      <x:c r="Q41" s="15" t="str">
        <x:v>https://new.artsmia.org/programs/teachers-and-students/teaching-the-arts/artwork-in-focus/benin-momorial-head</x:v>
      </x:c>
      <x:c r="R41" s="15" t="str">
        <x:v>Yes</x:v>
      </x:c>
      <x:c r="S41" s="15" t="str">
        <x:v>Confirmed Benin</x:v>
      </x:c>
      <x:c r="T41" s="15" t="str">
        <x:v>Medium</x:v>
      </x:c>
      <x:c r="U41" s="15" t="str">
        <x:v>Need object number.</x:v>
      </x:c>
    </x:row>
    <x:row r="42">
      <x:c r="A42" s="15" t="n">
        <x:v>6</x:v>
      </x:c>
      <x:c r="B42" s="15" t="str">
        <x:v>United States</x:v>
      </x:c>
      <x:c r="C42" s="15" t="str">
        <x:v>Saint Louis</x:v>
      </x:c>
      <x:c r="D42" s="15" t="str">
        <x:v>Saint Louis Art Museum</x:v>
      </x:c>
      <x:c r="E42" s="15" t="str">
        <x:v>Object</x:v>
      </x:c>
      <x:c r="F42" s="15" t="str">
        <x:v>Commemorative Head</x:v>
      </x:c>
      <x:c r="G42" s="15" t="str">
        <x:v>Commemorative head</x:v>
      </x:c>
      <x:c r="H42" s="15" t="str">
        <x:v>Edo artist / Kingdom of Benin</x:v>
      </x:c>
      <x:c r="I42" s="15" t="str">
        <x:v>15th-18th century</x:v>
      </x:c>
      <x:c r="J42" s="15" t="str">
        <x:v>Copper alloy, iron</x:v>
      </x:c>
      <x:c r="K42" s="15" t="str">
        <x:v>Not captured</x:v>
      </x:c>
      <x:c r="L42" s="15" t="str">
        <x:v>Museum Purchase</x:v>
      </x:c>
      <x:c r="M42" s="15" t="str">
        <x:v>SLAM catalogue record</x:v>
      </x:c>
      <x:c r="N42" s="15" t="str">
        <x:v>Confirmed Benin object; 1897 chain not captured</x:v>
      </x:c>
      <x:c r="O42" s="15" t="str">
        <x:v>Digital Benin ID not captured</x:v>
      </x:c>
      <x:c r="P42" s="15" t="str">
        <x:v>Current SLAM holding/status unknown</x:v>
      </x:c>
      <x:c r="Q42" s="15" t="str">
        <x:v>https://www.slam.org/collection/objects/33865/</x:v>
      </x:c>
      <x:c r="R42" s="15" t="str">
        <x:v>Yes / on view</x:v>
      </x:c>
      <x:c r="S42" s="15" t="str">
        <x:v>Confirmed Benin</x:v>
      </x:c>
      <x:c r="T42" s="15" t="str">
        <x:v>Medium</x:v>
      </x:c>
      <x:c r="U42" s="15" t="str">
        <x:v>Need accession/provenance.</x:v>
      </x:c>
    </x:row>
    <x:row r="43">
      <x:c r="A43" s="15" t="n">
        <x:v>6</x:v>
      </x:c>
      <x:c r="B43" s="15" t="str">
        <x:v>United States</x:v>
      </x:c>
      <x:c r="C43" s="15" t="str">
        <x:v>Dallas</x:v>
      </x:c>
      <x:c r="D43" s="15" t="str">
        <x:v>Dallas Museum of Art</x:v>
      </x:c>
      <x:c r="E43" s="15" t="str">
        <x:v>Object</x:v>
      </x:c>
      <x:c r="F43" s="15" t="str">
        <x:v>Single-figure plaque / Plaque with single figure</x:v>
      </x:c>
      <x:c r="G43" s="15" t="str">
        <x:v>Relief plaque</x:v>
      </x:c>
      <x:c r="H43" s="15" t="str">
        <x:v>Edo peoples, Benin Kingdom provincial style</x:v>
      </x:c>
      <x:c r="I43" s="15" t="str">
        <x:v>16th century / 16th-17th century</x:v>
      </x:c>
      <x:c r="J43" s="15" t="str">
        <x:v>Copper alloy</x:v>
      </x:c>
      <x:c r="K43" s="15" t="str">
        <x:v>DMA object page ID 3114457</x:v>
      </x:c>
      <x:c r="L43" s="15" t="str">
        <x:v>Not captured</x:v>
      </x:c>
      <x:c r="M43" s="15" t="str">
        <x:v>DMA / Google Arts &amp; Culture records</x:v>
      </x:c>
      <x:c r="N43" s="15" t="str">
        <x:v>Object-specific 1897 chain not captured</x:v>
      </x:c>
      <x:c r="O43" s="15" t="str">
        <x:v>Digital Benin ID not captured</x:v>
      </x:c>
      <x:c r="P43" s="15" t="str">
        <x:v>Current DMA holding/status unknown</x:v>
      </x:c>
      <x:c r="Q43" s="15" t="str">
        <x:v>https://dma.org/art/collection/object/3114457</x:v>
      </x:c>
      <x:c r="R43" s="15" t="str">
        <x:v>Yes</x:v>
      </x:c>
      <x:c r="S43" s="15" t="str">
        <x:v>Confirmed Benin</x:v>
      </x:c>
      <x:c r="T43" s="15" t="str">
        <x:v>Medium</x:v>
      </x:c>
      <x:c r="U43" s="15" t="str">
        <x:v>DMA has at least three Benin Kingdom works.</x:v>
      </x:c>
    </x:row>
    <x:row r="44">
      <x:c r="A44" s="15" t="n">
        <x:v>6</x:v>
      </x:c>
      <x:c r="B44" s="15" t="str">
        <x:v>United States</x:v>
      </x:c>
      <x:c r="C44" s="15" t="str">
        <x:v>Providence</x:v>
      </x:c>
      <x:c r="D44" s="15" t="str">
        <x:v>RISD Museum</x:v>
      </x:c>
      <x:c r="E44" s="15" t="str">
        <x:v>Object</x:v>
      </x:c>
      <x:c r="F44" s="15" t="str">
        <x:v>Head of a King / Oba</x:v>
      </x:c>
      <x:c r="G44" s="15" t="str">
        <x:v>Commemorative head</x:v>
      </x:c>
      <x:c r="H44" s="15" t="str">
        <x:v>Edo / Benin Kingdom</x:v>
      </x:c>
      <x:c r="I44" s="15" t="str">
        <x:v>Not captured</x:v>
      </x:c>
      <x:c r="J44" s="15" t="str">
        <x:v>Bronze</x:v>
      </x:c>
      <x:c r="K44" s="15" t="str">
        <x:v>Not captured</x:v>
      </x:c>
      <x:c r="L44" s="15" t="str">
        <x:v>Held since 1939; returned Oct 11 2022</x:v>
      </x:c>
      <x:c r="M44" s="15" t="str">
        <x:v>RISD returned object to Nigerian National Collections</x:v>
      </x:c>
      <x:c r="N44" s="15" t="str">
        <x:v>RISD says object was among works looted during 1897 British colonial raid</x:v>
      </x:c>
      <x:c r="O44" s="15" t="str">
        <x:v>Digital Benin ID not captured</x:v>
      </x:c>
      <x:c r="P44" s="15" t="str">
        <x:v>Returned/restituted to Nigeria in 2022</x:v>
      </x:c>
      <x:c r="Q44" s="15" t="str">
        <x:v>https://risdmuseum.org/node/1175056</x:v>
      </x:c>
      <x:c r="R44" s="15" t="str">
        <x:v>Yes</x:v>
      </x:c>
      <x:c r="S44" s="15" t="str">
        <x:v>Confirmed, restituted</x:v>
      </x:c>
      <x:c r="T44" s="15" t="str">
        <x:v>Medium</x:v>
      </x:c>
      <x:c r="U44" s="15" t="str">
        <x:v>Former RISD holding.</x:v>
      </x:c>
    </x:row>
    <x:row r="45">
      <x:c r="A45" s="15" t="n">
        <x:v>6</x:v>
      </x:c>
      <x:c r="B45" s="15" t="str">
        <x:v>United States</x:v>
      </x:c>
      <x:c r="C45" s="15" t="str">
        <x:v>Cambridge, MA</x:v>
      </x:c>
      <x:c r="D45" s="15" t="str">
        <x:v>Harvard Art Museums</x:v>
      </x:c>
      <x:c r="E45" s="15" t="str">
        <x:v>Object</x:v>
      </x:c>
      <x:c r="F45" s="15" t="str">
        <x:v>Uhunmwu-Elao / commemorative head of an Oba</x:v>
      </x:c>
      <x:c r="G45" s="15" t="str">
        <x:v>Commemorative head</x:v>
      </x:c>
      <x:c r="H45" s="15" t="str">
        <x:v>Benin Kingdom / Edo</x:v>
      </x:c>
      <x:c r="I45" s="15" t="str">
        <x:v>Not captured</x:v>
      </x:c>
      <x:c r="J45" s="15" t="str">
        <x:v>Bronze/brass likely</x:v>
      </x:c>
      <x:c r="K45" s="15" t="str">
        <x:v>230607</x:v>
      </x:c>
      <x:c r="L45" s="15" t="str">
        <x:v>Not captured</x:v>
      </x:c>
      <x:c r="M45" s="15" t="str">
        <x:v>Harvard object page</x:v>
      </x:c>
      <x:c r="N45" s="15" t="str">
        <x:v>Object belongs to Benin Bronzes context; object-specific chain pending</x:v>
      </x:c>
      <x:c r="O45" s="15" t="str">
        <x:v>Digital Benin ID not captured</x:v>
      </x:c>
      <x:c r="P45" s="15" t="str">
        <x:v>Current Harvard holding/status unknown</x:v>
      </x:c>
      <x:c r="Q45" s="15" t="str">
        <x:v>https://harvardartmuseums.org/art/230607</x:v>
      </x:c>
      <x:c r="R45" s="15" t="str">
        <x:v>Yes</x:v>
      </x:c>
      <x:c r="S45" s="15" t="str">
        <x:v>Confirmed Benin</x:v>
      </x:c>
      <x:c r="T45" s="15" t="str">
        <x:v>Medium</x:v>
      </x:c>
      <x:c r="U45" s="15" t="str">
        <x:v>Harvard should remain in map.</x:v>
      </x:c>
    </x:row>
    <x:row r="46">
      <x:c r="A46" s="15" t="n">
        <x:v>6</x:v>
      </x:c>
      <x:c r="B46" s="15" t="str">
        <x:v>United States</x:v>
      </x:c>
      <x:c r="C46" s="15" t="str">
        <x:v>Cambridge, MA</x:v>
      </x:c>
      <x:c r="D46" s="15" t="str">
        <x:v>Harvard Art Museums</x:v>
      </x:c>
      <x:c r="E46" s="15" t="str">
        <x:v>Object</x:v>
      </x:c>
      <x:c r="F46" s="15" t="str">
        <x:v>Hand-held Clapper with Bird of Prophecy</x:v>
      </x:c>
      <x:c r="G46" s="15" t="str">
        <x:v>Ritual / court object</x:v>
      </x:c>
      <x:c r="H46" s="15" t="str">
        <x:v>Benin Kingdom / Edo</x:v>
      </x:c>
      <x:c r="I46" s="15" t="str">
        <x:v>Not captured</x:v>
      </x:c>
      <x:c r="J46" s="15" t="str">
        <x:v>Not captured</x:v>
      </x:c>
      <x:c r="K46" s="15" t="str">
        <x:v>1988.472</x:v>
      </x:c>
      <x:c r="L46" s="15" t="str">
        <x:v>Not captured</x:v>
      </x:c>
      <x:c r="M46" s="15" t="str">
        <x:v>Harvard object page</x:v>
      </x:c>
      <x:c r="N46" s="15" t="str">
        <x:v>Object belongs to Benin Bronzes/Edo stewardship context; chain pending</x:v>
      </x:c>
      <x:c r="O46" s="15" t="str">
        <x:v>Digital Benin ID not captured</x:v>
      </x:c>
      <x:c r="P46" s="15" t="str">
        <x:v>Current Harvard holding/status unknown</x:v>
      </x:c>
      <x:c r="Q46" s="15" t="str">
        <x:v>https://harvardartmuseums.org/art/226425</x:v>
      </x:c>
      <x:c r="R46" s="15" t="str">
        <x:v>Yes</x:v>
      </x:c>
      <x:c r="S46" s="15" t="str">
        <x:v>Confirmed Benin</x:v>
      </x:c>
      <x:c r="T46" s="15" t="str">
        <x:v>Medium</x:v>
      </x:c>
      <x:c r="U46" s="15" t="str">
        <x:v>Good non-plaque/head example.</x:v>
      </x:c>
    </x:row>
  </x:sheetData>
  <x:conditionalFormatting sqref="T2:T46">
    <x:cfRule type="cellIs" dxfId="0" priority="1">
      <x:formula>High</x:formula>
    </x:cfRule>
  </x:conditionalFormatting>
  <x:conditionalFormatting sqref="P2:P46">
    <x:cfRule type="expression" dxfId="1" priority="2">
      <x:formula>ISNUMBER(SEARCH("returned",P2))</x:formula>
    </x:cfRule>
    <x:cfRule type="expression" dxfId="2" priority="3">
      <x:formula>ISNUMBER(SEARCH("restituted",P2))</x:formula>
    </x:cfRule>
  </x:conditionalFormatting>
  <x:dataValidations count="2">
    <x:dataValidation type="list" sqref="T2:T46">
      <x:formula1>"High,Medium,Low"</x:formula1>
    </x:dataValidation>
    <x:dataValidation type="list" sqref="E2:E46">
      <x:formula1>"Object,Collection,Archival document"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10d8fec8fb4a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60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3" t="str">
        <x:v>Metric</x:v>
      </x:c>
      <x:c r="B1" s="3" t="str">
        <x:v>Snapshot value</x:v>
      </x:c>
      <x:c r="C1" s="4" t="str">
        <x:v>Excel formula / method</x:v>
      </x:c>
      <x:c r="D1" s="3" t="str">
        <x:v>Country / region</x:v>
      </x:c>
      <x:c r="E1" s="3" t="str">
        <x:v>Records</x:v>
      </x:c>
      <x:c r="F1" s="3" t="str">
        <x:v>High priority</x:v>
      </x:c>
    </x:row>
    <x:row r="2">
      <x:c r="A2" t="str">
        <x:v>Total records</x:v>
      </x:c>
      <x:c r="B2" t="n">
        <x:v>45</x:v>
      </x:c>
      <x:c r="C2" t="str">
        <x:v>COUNTA('Master Register'!F2:F46)</x:v>
      </x:c>
      <x:c r="D2" t="str">
        <x:v>Austria</x:v>
      </x:c>
      <x:c r="E2" t="n">
        <x:f>COUNTIF('Master Register'!B:B,D2)</x:f>
        <x:v>2</x:v>
      </x:c>
      <x:c r="F2" t="n">
        <x:f>COUNTIFS('Master Register'!B:B,D2,'Master Register'!T:T,"High")</x:f>
        <x:v>1</x:v>
      </x:c>
    </x:row>
    <x:row r="3">
      <x:c r="A3" t="str">
        <x:v>Object-level records</x:v>
      </x:c>
      <x:c r="B3" t="n">
        <x:v>30</x:v>
      </x:c>
      <x:c r="C3" t="str">
        <x:v>COUNTIF('Master Register'!E2:E46,"Object")</x:v>
      </x:c>
      <x:c r="D3" t="str">
        <x:v>Germany</x:v>
      </x:c>
      <x:c r="E3" t="n">
        <x:f>COUNTIF('Master Register'!B:B,D3)</x:f>
        <x:v>11</x:v>
      </x:c>
      <x:c r="F3" t="n">
        <x:f>COUNTIFS('Master Register'!B:B,D3,'Master Register'!T:T,"High")</x:f>
        <x:v>7</x:v>
      </x:c>
    </x:row>
    <x:row r="4">
      <x:c r="A4" t="str">
        <x:v>Collection-level records</x:v>
      </x:c>
      <x:c r="B4" t="n">
        <x:v>15</x:v>
      </x:c>
      <x:c r="C4" t="str">
        <x:v>COUNTIF('Master Register'!E2:E46,"Collection")</x:v>
      </x:c>
      <x:c r="D4" t="str">
        <x:v>Netherlands</x:v>
      </x:c>
      <x:c r="E4" t="n">
        <x:f>COUNTIF('Master Register'!B:B,D4)</x:f>
        <x:v>3</x:v>
      </x:c>
      <x:c r="F4" t="n">
        <x:f>COUNTIFS('Master Register'!B:B,D4,'Master Register'!T:T,"High")</x:f>
        <x:v>3</x:v>
      </x:c>
    </x:row>
    <x:row r="5">
      <x:c r="A5" t="str">
        <x:v>High-priority records</x:v>
      </x:c>
      <x:c r="B5" t="n">
        <x:v>26</x:v>
      </x:c>
      <x:c r="C5" t="str">
        <x:v>COUNTIF('Master Register'!T2:T46,"High")</x:v>
      </x:c>
      <x:c r="D5" t="str">
        <x:v>Scotland / UK</x:v>
      </x:c>
      <x:c r="E5" t="n">
        <x:f>COUNTIF('Master Register'!B:B,D5)</x:f>
        <x:v>2</x:v>
      </x:c>
      <x:c r="F5" t="n">
        <x:f>COUNTIFS('Master Register'!B:B,D5,'Master Register'!T:T,"High")</x:f>
        <x:v>1</x:v>
      </x:c>
    </x:row>
    <x:row r="6">
      <x:c r="A6" t="str">
        <x:v>Records with returned/restituted status</x:v>
      </x:c>
      <x:c r="B6" t="n">
        <x:v>10</x:v>
      </x:c>
      <x:c r="C6" t="str">
        <x:v>Contains returned OR restituted in Current ownership/restitution status</x:v>
      </x:c>
      <x:c r="D6" t="str">
        <x:v>Sweden</x:v>
      </x:c>
      <x:c r="E6" t="n">
        <x:f>COUNTIF('Master Register'!B:B,D6)</x:f>
        <x:v>2</x:v>
      </x:c>
      <x:c r="F6" t="n">
        <x:f>COUNTIFS('Master Register'!B:B,D6,'Master Register'!T:T,"High")</x:f>
        <x:v>2</x:v>
      </x:c>
    </x:row>
    <x:row r="7">
      <x:c r="A7" t="str">
        <x:v>Records needing Digital Benin ID capture</x:v>
      </x:c>
      <x:c r="B7" t="n">
        <x:v>43</x:v>
      </x:c>
      <x:c r="C7" t="str">
        <x:v>Digital Benin status/link does not contain a captured object ID</x:v>
      </x:c>
      <x:c r="D7" t="str">
        <x:v>United Kingdom</x:v>
      </x:c>
      <x:c r="E7" t="n">
        <x:f>COUNTIF('Master Register'!B:B,D7)</x:f>
        <x:v>3</x:v>
      </x:c>
      <x:c r="F7" t="n">
        <x:f>COUNTIFS('Master Register'!B:B,D7,'Master Register'!T:T,"High")</x:f>
        <x:v>3</x:v>
      </x:c>
    </x:row>
    <x:row r="8">
      <x:c r="A8" t="str">
        <x:v>Countries/regions covered</x:v>
      </x:c>
      <x:c r="B8" t="n">
        <x:v>7</x:v>
      </x:c>
      <x:c r="C8" t="str">
        <x:v>Unique country/region values</x:v>
      </x:c>
      <x:c r="D8" t="str">
        <x:v>United States</x:v>
      </x:c>
      <x:c r="E8" t="n">
        <x:f>COUNTIF('Master Register'!B:B,D8)</x:f>
        <x:v>22</x:v>
      </x:c>
      <x:c r="F8" t="n">
        <x:f>COUNTIFS('Master Register'!B:B,D8,'Master Register'!T:T,"High")</x:f>
        <x:v>9</x:v>
      </x:c>
    </x:row>
    <x:row r="9">
      <x:c r="A9" t="str">
        <x:v>Institutions covered</x:v>
      </x:c>
      <x:c r="B9" t="n">
        <x:v>32</x:v>
      </x:c>
      <x:c r="C9" t="str">
        <x:v>Unique institution values</x:v>
      </x:c>
    </x:row>
    <x:row r="10">
      <x:c r="A10" t="str">
        <x:v>Rows in master register</x:v>
      </x:c>
      <x:c r="B10" t="n">
        <x:v>45</x:v>
      </x:c>
      <x:c r="C10" t="str">
        <x:v>ROWS('Master Register'!A2:A46)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36" hidden="0" customWidth="1"/>
    <x:col min="5" max="5" width="42" hidden="0" customWidth="1"/>
    <x:col min="6" max="6" width="34" hidden="0" customWidth="1"/>
    <x:col min="7" max="7" width="50" hidden="0" customWidth="1"/>
  </x:cols>
  <x:sheetData>
    <x:row r="1">
      <x:c r="A1" s="23" t="str">
        <x:v>Priority Rank</x:v>
      </x:c>
      <x:c r="B1" s="23" t="str">
        <x:v>Institution</x:v>
      </x:c>
      <x:c r="C1" s="23" t="str">
        <x:v>City/Region</x:v>
      </x:c>
      <x:c r="D1" s="23" t="str">
        <x:v>Object / collection</x:v>
      </x:c>
      <x:c r="E1" s="23" t="str">
        <x:v>Task</x:v>
      </x:c>
      <x:c r="F1" s="23" t="str">
        <x:v>Why it matters</x:v>
      </x:c>
      <x:c r="G1" s="23" t="str">
        <x:v>Starting URL</x:v>
      </x:c>
    </x:row>
    <x:row r="2">
      <x:c r="A2" s="12" t="n">
        <x:v>1</x:v>
      </x:c>
      <x:c r="B2" s="12" t="str">
        <x:v>Weltmuseum Wien</x:v>
      </x:c>
      <x:c r="C2" s="12" t="str">
        <x:v>Vienna</x:v>
      </x:c>
      <x:c r="D2" s="12" t="str">
        <x:v>Figure of a Court Dwarf</x:v>
      </x:c>
      <x:c r="E2" s="12" t="str">
        <x:v>Capture Digital Benin object ID and current ownership/location status</x:v>
      </x:c>
      <x:c r="F2" s="12" t="str">
        <x:v>Digital Benin ID missing; needed for cross-reference layer.</x:v>
      </x:c>
      <x:c r="G2" s="12" t="str">
        <x:v>https://www.weltmuseumwien.at/en/objects/figure-of-a-court-dwarf-441024</x:v>
      </x:c>
    </x:row>
    <x:row r="3">
      <x:c r="A3" s="12" t="n">
        <x:v>2</x:v>
      </x:c>
      <x:c r="B3" s="12" t="str">
        <x:v>Museum of Archaeology and Anthropology, University of Cambridge</x:v>
      </x:c>
      <x:c r="C3" s="12" t="str">
        <x:v>Cambridge</x:v>
      </x:c>
      <x:c r="D3" s="12" t="str">
        <x:v>Human head / tusk stand</x:v>
      </x:c>
      <x:c r="E3" s="12" t="str">
        <x:v>Capture Digital Benin object ID and current ownership/location status</x:v>
      </x:c>
      <x:c r="F3" s="12" t="str">
        <x:v>Digital Benin ID missing; needed for cross-reference layer.</x:v>
      </x:c>
      <x:c r="G3" s="12" t="str">
        <x:v>https://collections.maa.cam.ac.uk/objects/532530/</x:v>
      </x:c>
    </x:row>
    <x:row r="4">
      <x:c r="A4" s="12" t="n">
        <x:v>3</x:v>
      </x:c>
      <x:c r="B4" s="12" t="str">
        <x:v>Museum of Archaeology and Anthropology, University of Cambridge</x:v>
      </x:c>
      <x:c r="C4" s="12" t="str">
        <x:v>Cambridge</x:v>
      </x:c>
      <x:c r="D4" s="12" t="str">
        <x:v>Head of an Oba / noble head</x:v>
      </x:c>
      <x:c r="E4" s="12" t="str">
        <x:v>Capture Digital Benin object ID and current ownership/location status</x:v>
      </x:c>
      <x:c r="F4" s="12" t="str">
        <x:v>Digital Benin ID missing; needed for cross-reference layer.</x:v>
      </x:c>
      <x:c r="G4" s="12" t="str">
        <x:v>https://collections.maa.cam.ac.uk/objects/532528/</x:v>
      </x:c>
    </x:row>
    <x:row r="5">
      <x:c r="A5" s="12" t="n">
        <x:v>4</x:v>
      </x:c>
      <x:c r="B5" s="12" t="str">
        <x:v>Pitt Rivers Museum / University of Oxford</x:v>
      </x:c>
      <x:c r="C5" s="12" t="str">
        <x:v>Oxford</x:v>
      </x:c>
      <x:c r="D5" s="12" t="str">
        <x:v>Bronze Plaque looted from Royal Palace of Benin</x:v>
      </x:c>
      <x:c r="E5" s="12" t="str">
        <x:v>Capture Digital Benin object ID and current ownership/location status</x:v>
      </x:c>
      <x:c r="F5" s="12" t="str">
        <x:v>Digital Benin ID missing; needed for cross-reference layer.</x:v>
      </x:c>
      <x:c r="G5" s="12" t="str">
        <x:v>https://www.prm.ox.ac.uk/benin-bronzes</x:v>
      </x:c>
    </x:row>
    <x:row r="6">
      <x:c r="A6" s="12" t="n">
        <x:v>5</x:v>
      </x:c>
      <x:c r="B6" s="12" t="str">
        <x:v>National Museums Scotland / National Museum of Scotland</x:v>
      </x:c>
      <x:c r="C6" s="12" t="str">
        <x:v>Edinburgh</x:v>
      </x:c>
      <x:c r="D6" s="12" t="str">
        <x:v>Benin collection / selected Benin artworks</x:v>
      </x:c>
      <x:c r="E6" s="12" t="str">
        <x:v>Capture Digital Benin object ID and current ownership/location status</x:v>
      </x:c>
      <x:c r="F6" s="12" t="str">
        <x:v>Digital Benin ID missing; needed for cross-reference layer.</x:v>
      </x:c>
      <x:c r="G6" s="12" t="str">
        <x:v>https://www.nms.ac.uk/discover-catalogue/benin-collections-at-national-museums-scotland</x:v>
      </x:c>
    </x:row>
    <x:row r="7">
      <x:c r="A7" s="12" t="n">
        <x:v>6</x:v>
      </x:c>
      <x:c r="B7" s="12" t="str">
        <x:v>Rautenstrauch-Joest-Museum</x:v>
      </x:c>
      <x:c r="C7" s="12" t="str">
        <x:v>Köln / Cologne</x:v>
      </x:c>
      <x:c r="D7" s="12" t="str">
        <x:v>RJM royal artworks from Kingdom of Benin</x:v>
      </x:c>
      <x:c r="E7" s="12" t="str">
        <x:v>Capture Digital Benin object ID and current ownership/location status</x:v>
      </x:c>
      <x:c r="F7" s="12" t="str">
        <x:v>Digital Benin ID missing; needed for cross-reference layer.</x:v>
      </x:c>
      <x:c r="G7" s="12" t="str">
        <x:v>https://rautenstrauch-joest-museum.de/Hofkunstwerke-aus-dem-Koenigreich-Benin-NEU</x:v>
      </x:c>
    </x:row>
    <x:row r="8">
      <x:c r="A8" s="12" t="n">
        <x:v>7</x:v>
      </x:c>
      <x:c r="B8" s="12" t="str">
        <x:v>Rautenstrauch-Joest-Museum</x:v>
      </x:c>
      <x:c r="C8" s="12" t="str">
        <x:v>Köln / Cologne</x:v>
      </x:c>
      <x:c r="D8" s="12" t="str">
        <x:v>Figure fragment</x:v>
      </x:c>
      <x:c r="E8" s="12" t="str">
        <x:v>Capture Digital Benin object ID and current ownership/location status</x:v>
      </x:c>
      <x:c r="F8" s="12" t="str">
        <x:v>Digital Benin ID missing; needed for cross-reference layer.</x:v>
      </x:c>
      <x:c r="G8" s="12" t="str">
        <x:v>https://www.germancontactpoint.org/benin-bronzes/object.php?o=65</x:v>
      </x:c>
    </x:row>
    <x:row r="9">
      <x:c r="A9" s="12" t="n">
        <x:v>8</x:v>
      </x:c>
      <x:c r="B9" s="12" t="str">
        <x:v>Staatliche Ethnographische Sammlungen Sachsen / SKD</x:v>
      </x:c>
      <x:c r="C9" s="12" t="str">
        <x:v>Dresden / Leipzig</x:v>
      </x:c>
      <x:c r="D9" s="12" t="str">
        <x:v>SKD / SES Benin collection</x:v>
      </x:c>
      <x:c r="E9" s="12" t="str">
        <x:v>Capture Digital Benin object ID and current ownership/location status</x:v>
      </x:c>
      <x:c r="F9" s="12" t="str">
        <x:v>Digital Benin ID missing; needed for cross-reference layer.</x:v>
      </x:c>
      <x:c r="G9" s="12" t="str">
        <x:v>https://www.skd.museum/besucherservice/presse/2022/benin-bronzen-sachsen-uebertraegt-eigentum-an-nigeria/</x:v>
      </x:c>
    </x:row>
    <x:row r="10">
      <x:c r="A10" s="12" t="n">
        <x:v>9</x:v>
      </x:c>
      <x:c r="B10" s="12" t="str">
        <x:v>Staatliche Ethnographische Sammlungen Sachsen / SKD</x:v>
      </x:c>
      <x:c r="C10" s="12" t="str">
        <x:v>Dresden</x:v>
      </x:c>
      <x:c r="D10" s="12" t="str">
        <x:v>Aufsatzfigur eines Würdenträgers mit Zeremonialschwert</x:v>
      </x:c>
      <x:c r="E10" s="12" t="str">
        <x:v>Capture Digital Benin object ID and current ownership/location status</x:v>
      </x:c>
      <x:c r="F10" s="12" t="str">
        <x:v>Digital Benin ID missing; needed for cross-reference layer.</x:v>
      </x:c>
      <x:c r="G10" s="12" t="str">
        <x:v>https://www.germancontactpoint.org/benin-bronzes/object.php?o=324</x:v>
      </x:c>
    </x:row>
    <x:row r="11">
      <x:c r="A11" s="12" t="n">
        <x:v>10</x:v>
      </x:c>
      <x:c r="B11" s="12" t="str">
        <x:v>Museum am Rothenbaum — MARKK</x:v>
      </x:c>
      <x:c r="C11" s="12" t="str">
        <x:v>Hamburg</x:v>
      </x:c>
      <x:c r="D11" s="12" t="str">
        <x:v>MARKK Benin collection</x:v>
      </x:c>
      <x:c r="E11" s="12" t="str">
        <x:v>Capture Digital Benin object ID and current ownership/location status</x:v>
      </x:c>
      <x:c r="F11" s="12" t="str">
        <x:v>Digital Benin ID missing; needed for cross-reference layer.</x:v>
      </x:c>
      <x:c r="G11" s="12" t="str">
        <x:v>https://markk-hamburg.de/en/ausstellungen/benin-looted-history/</x:v>
      </x:c>
    </x:row>
    <x:row r="12">
      <x:c r="A12" s="12" t="n">
        <x:v>11</x:v>
      </x:c>
      <x:c r="B12" s="12" t="str">
        <x:v>Linden-Museum Stuttgart</x:v>
      </x:c>
      <x:c r="C12" s="12" t="str">
        <x:v>Stuttgart</x:v>
      </x:c>
      <x:c r="D12" s="12" t="str">
        <x:v>Linden-Museum Benin collection</x:v>
      </x:c>
      <x:c r="E12" s="12" t="str">
        <x:v>Capture Digital Benin object ID and current ownership/location status</x:v>
      </x:c>
      <x:c r="F12" s="12" t="str">
        <x:v>Digital Benin ID missing; needed for cross-reference layer.</x:v>
      </x:c>
      <x:c r="G12" s="12" t="str">
        <x:v>https://sammlung-digital.lindenmuseum.de/en/topic/benin-restitution-as-a-process_13206</x:v>
      </x:c>
    </x:row>
    <x:row r="13">
      <x:c r="A13" s="12" t="n">
        <x:v>12</x:v>
      </x:c>
      <x:c r="B13" s="12" t="str">
        <x:v>Linden-Museum Stuttgart</x:v>
      </x:c>
      <x:c r="C13" s="12" t="str">
        <x:v>Stuttgart</x:v>
      </x:c>
      <x:c r="D13" s="12" t="str">
        <x:v>Carved elephant tusk</x:v>
      </x:c>
      <x:c r="E13" s="12" t="str">
        <x:v>Capture Digital Benin object ID and current ownership/location status</x:v>
      </x:c>
      <x:c r="F13" s="12" t="str">
        <x:v>Digital Benin ID missing; needed for cross-reference layer.</x:v>
      </x:c>
      <x:c r="G13" s="12" t="str">
        <x:v>https://www.germancontactpoint.org/benin-bronzes/object.php?o=146</x:v>
      </x:c>
    </x:row>
    <x:row r="14">
      <x:c r="A14" s="12" t="n">
        <x:v>13</x:v>
      </x:c>
      <x:c r="B14" s="12" t="str">
        <x:v>Nationaal Museum van Wereldculturen / Wereldmuseum</x:v>
      </x:c>
      <x:c r="C14" s="12" t="str">
        <x:v>Leiden / Amsterdam / Rotterdam / Berg en Dal</x:v>
      </x:c>
      <x:c r="D14" s="12" t="str">
        <x:v>NMVW / Wereldmuseum Benin collection</x:v>
      </x:c>
      <x:c r="E14" s="12" t="str">
        <x:v>Capture Digital Benin object ID and current ownership/location status</x:v>
      </x:c>
      <x:c r="F14" s="12" t="str">
        <x:v>Digital Benin ID missing; needed for cross-reference layer.</x:v>
      </x:c>
      <x:c r="G14" s="12" t="str">
        <x:v>https://amsterdam.wereldmuseum.nl/sites/default/files/2021-03/2021%20NMVW%20Provenance%202%20%28Benin%29%20e-book.pdf</x:v>
      </x:c>
    </x:row>
    <x:row r="15">
      <x:c r="A15" s="12" t="n">
        <x:v>14</x:v>
      </x:c>
      <x:c r="B15" s="12" t="str">
        <x:v>Museum Volkenkunde / Wereldmuseum Leiden</x:v>
      </x:c>
      <x:c r="C15" s="12" t="str">
        <x:v>Leiden</x:v>
      </x:c>
      <x:c r="D15" s="12" t="str">
        <x:v>Relief plaque</x:v>
      </x:c>
      <x:c r="E15" s="12" t="str">
        <x:v>Capture Digital Benin object ID and current ownership/location status</x:v>
      </x:c>
      <x:c r="F15" s="12" t="str">
        <x:v>Digital Benin ID missing; needed for cross-reference layer.</x:v>
      </x:c>
      <x:c r="G15" s="12" t="str">
        <x:v>https://amsterdam.wereldmuseum.nl/sites/default/files/2021-03/2021%20NMVW%20Provenance%202%20%28Benin%29%20e-book.pdf</x:v>
      </x:c>
    </x:row>
    <x:row r="16">
      <x:c r="A16" s="12" t="n">
        <x:v>15</x:v>
      </x:c>
      <x:c r="B16" s="12" t="str">
        <x:v>Wereldmuseum Rotterdam</x:v>
      </x:c>
      <x:c r="C16" s="12" t="str">
        <x:v>Rotterdam</x:v>
      </x:c>
      <x:c r="D16" s="12" t="str">
        <x:v>Relief plaque</x:v>
      </x:c>
      <x:c r="E16" s="12" t="str">
        <x:v>Capture Digital Benin object ID and current ownership/location status</x:v>
      </x:c>
      <x:c r="F16" s="12" t="str">
        <x:v>Digital Benin ID missing; needed for cross-reference layer.</x:v>
      </x:c>
      <x:c r="G16" s="12" t="str">
        <x:v>https://amsterdam.wereldmuseum.nl/sites/default/files/2021-03/2021%20NMVW%20Provenance%202%20%28Benin%29%20e-book.pdf</x:v>
      </x:c>
    </x:row>
    <x:row r="17">
      <x:c r="A17" s="12" t="n">
        <x:v>16</x:v>
      </x:c>
      <x:c r="B17" s="12" t="str">
        <x:v>Etnografiska museet / Världskulturmuseerna</x:v>
      </x:c>
      <x:c r="C17" s="12" t="str">
        <x:v>Stockholm</x:v>
      </x:c>
      <x:c r="D17" s="12" t="str">
        <x:v>Stockholm Benin collection</x:v>
      </x:c>
      <x:c r="E17" s="12" t="str">
        <x:v>Capture Digital Benin object ID and current ownership/location status</x:v>
      </x:c>
      <x:c r="F17" s="12" t="str">
        <x:v>Digital Benin ID missing; needed for cross-reference layer.</x:v>
      </x:c>
      <x:c r="G17" s="12" t="str">
        <x:v>https://www.varldskulturmuseerna.se/samlingarna/aterlamnande-av-foremal-ur-samlingarna/benin-aterlamnande/</x:v>
      </x:c>
    </x:row>
    <x:row r="18">
      <x:c r="A18" s="12" t="n">
        <x:v>17</x:v>
      </x:c>
      <x:c r="B18" s="12" t="str">
        <x:v>Etnografiska museet / Världskulturmuseerna</x:v>
      </x:c>
      <x:c r="C18" s="12" t="str">
        <x:v>Stockholm</x:v>
      </x:c>
      <x:c r="D18" s="12" t="str">
        <x:v>Bronshuvud, minneshuvud / Commemorative head of an Iyoba</x:v>
      </x:c>
      <x:c r="E18" s="12" t="str">
        <x:v>Capture Digital Benin object ID and current ownership/location status</x:v>
      </x:c>
      <x:c r="F18" s="12" t="str">
        <x:v>Digital Benin ID missing; needed for cross-reference layer.</x:v>
      </x:c>
      <x:c r="G18" s="12" t="str">
        <x:v>https://collections.smvk.se/carlotta-em/web/object/1238907</x:v>
      </x:c>
    </x:row>
    <x:row r="19">
      <x:c r="A19" s="12" t="n">
        <x:v>18</x:v>
      </x:c>
      <x:c r="B19" s="12" t="str">
        <x:v>Field Museum</x:v>
      </x:c>
      <x:c r="C19" s="12" t="str">
        <x:v>Chicago</x:v>
      </x:c>
      <x:c r="D19" s="12" t="str">
        <x:v>Field Museum Benin collection</x:v>
      </x:c>
      <x:c r="E19" s="12" t="str">
        <x:v>Capture Digital Benin object ID and current ownership/location status</x:v>
      </x:c>
      <x:c r="F19" s="12" t="str">
        <x:v>Digital Benin ID missing; needed for cross-reference layer.</x:v>
      </x:c>
      <x:c r="G19" s="12" t="str">
        <x:v>https://hyperallergic.com/new-online-database-tracks-benin-bronzes/</x:v>
      </x:c>
    </x:row>
    <x:row r="20">
      <x:c r="A20" s="12" t="n">
        <x:v>19</x:v>
      </x:c>
      <x:c r="B20" s="12" t="str">
        <x:v>Field Museum</x:v>
      </x:c>
      <x:c r="C20" s="12" t="str">
        <x:v>Chicago</x:v>
      </x:c>
      <x:c r="D20" s="12" t="str">
        <x:v>Plaque</x:v>
      </x:c>
      <x:c r="E20" s="12" t="str">
        <x:v>Capture Digital Benin object ID and current ownership/location status</x:v>
      </x:c>
      <x:c r="F20" s="12" t="str">
        <x:v>Digital Benin ID missing; needed for cross-reference layer.</x:v>
      </x:c>
      <x:c r="G20" s="12" t="str">
        <x:v>https://collections-anthropology.fieldmuseum.org/catalogue/1313834</x:v>
      </x:c>
    </x:row>
    <x:row r="21">
      <x:c r="A21" s="12" t="n">
        <x:v>20</x:v>
      </x:c>
      <x:c r="B21" s="12" t="str">
        <x:v>Museum of Fine Arts, Boston</x:v>
      </x:c>
      <x:c r="C21" s="12" t="str">
        <x:v>Boston</x:v>
      </x:c>
      <x:c r="D21" s="12" t="str">
        <x:v>MFA Benin Kingdom collection</x:v>
      </x:c>
      <x:c r="E21" s="12" t="str">
        <x:v>Capture Digital Benin object ID and current ownership/location status</x:v>
      </x:c>
      <x:c r="F21" s="12" t="str">
        <x:v>Digital Benin ID missing; needed for cross-reference layer.</x:v>
      </x:c>
      <x:c r="G21" s="12" t="str">
        <x:v>https://www.mfa.org/collections/provenance/colonial-era-provenance</x:v>
      </x:c>
    </x:row>
    <x:row r="22">
      <x:c r="A22" s="12" t="n">
        <x:v>21</x:v>
      </x:c>
      <x:c r="B22" s="12" t="str">
        <x:v>Museum of Fine Arts, Boston</x:v>
      </x:c>
      <x:c r="C22" s="12" t="str">
        <x:v>Boston</x:v>
      </x:c>
      <x:c r="D22" s="12" t="str">
        <x:v>Commemorative Head</x:v>
      </x:c>
      <x:c r="E22" s="12" t="str">
        <x:v>Capture Digital Benin object ID and current ownership/location status</x:v>
      </x:c>
      <x:c r="F22" s="12" t="str">
        <x:v>Digital Benin ID missing; needed for cross-reference layer.</x:v>
      </x:c>
      <x:c r="G22" s="12" t="str">
        <x:v>https://www.mfa.org/collections/provenance/ownership-resolutions</x:v>
      </x:c>
    </x:row>
    <x:row r="23">
      <x:c r="A23" s="12" t="n">
        <x:v>22</x:v>
      </x:c>
      <x:c r="B23" s="12" t="str">
        <x:v>Museum of Fine Arts, Boston</x:v>
      </x:c>
      <x:c r="C23" s="12" t="str">
        <x:v>Boston</x:v>
      </x:c>
      <x:c r="D23" s="12" t="str">
        <x:v>Relief Plaque Showing Two Officials with Raised Swords</x:v>
      </x:c>
      <x:c r="E23" s="12" t="str">
        <x:v>Capture Digital Benin object ID and current ownership/location status</x:v>
      </x:c>
      <x:c r="F23" s="12" t="str">
        <x:v>Digital Benin ID missing; needed for cross-reference layer.</x:v>
      </x:c>
      <x:c r="G23" s="12" t="str">
        <x:v>https://www.mfa.org/collections/provenance/ownership-resolutions</x:v>
      </x:c>
    </x:row>
    <x:row r="24">
      <x:c r="A24" s="12" t="n">
        <x:v>23</x:v>
      </x:c>
      <x:c r="B24" s="12" t="str">
        <x:v>Metropolitan Museum of Art</x:v>
      </x:c>
      <x:c r="C24" s="12" t="str">
        <x:v>New York</x:v>
      </x:c>
      <x:c r="D24" s="12" t="str">
        <x:v>The Met Benin / Edo holdings</x:v>
      </x:c>
      <x:c r="E24" s="12" t="str">
        <x:v>Capture Digital Benin object ID and current ownership/location status</x:v>
      </x:c>
      <x:c r="F24" s="12" t="str">
        <x:v>Digital Benin ID missing; needed for cross-reference layer.</x:v>
      </x:c>
      <x:c r="G24" s="12" t="str">
        <x:v>https://www.metmuseum.org/press-releases/met-and-ncmm-announcement-2021-news</x:v>
      </x:c>
    </x:row>
    <x:row r="25">
      <x:c r="A25" s="12" t="n">
        <x:v>24</x:v>
      </x:c>
      <x:c r="B25" s="12" t="str">
        <x:v>Penn Museum</x:v>
      </x:c>
      <x:c r="C25" s="12" t="str">
        <x:v>Philadelphia</x:v>
      </x:c>
      <x:c r="D25" s="12" t="str">
        <x:v>Penn Museum Benin Kingdom collection</x:v>
      </x:c>
      <x:c r="E25" s="12" t="str">
        <x:v>Capture Digital Benin object ID and current ownership/location status</x:v>
      </x:c>
      <x:c r="F25" s="12" t="str">
        <x:v>Digital Benin ID missing; needed for cross-reference layer.</x:v>
      </x:c>
      <x:c r="G25" s="12" t="str">
        <x:v>https://www.penn.museum/about-collections/curatorial-sections/african-section</x:v>
      </x:c>
    </x:row>
    <x:row r="26">
      <x:c r="A26" s="12" t="n">
        <x:v>25</x:v>
      </x:c>
      <x:c r="B26" s="12" t="str">
        <x:v>Penn Museum</x:v>
      </x:c>
      <x:c r="C26" s="12" t="str">
        <x:v>Philadelphia</x:v>
      </x:c>
      <x:c r="D26" s="12" t="str">
        <x:v>Plaque</x:v>
      </x:c>
      <x:c r="E26" s="12" t="str">
        <x:v>Capture Digital Benin object ID and current ownership/location status</x:v>
      </x:c>
      <x:c r="F26" s="12" t="str">
        <x:v>Digital Benin ID missing; needed for cross-reference layer.</x:v>
      </x:c>
      <x:c r="G26" s="12" t="str">
        <x:v>https://collections.penn.museum/collections/object/141264</x:v>
      </x:c>
    </x:row>
    <x:row r="27">
      <x:c r="A27" s="12" t="n">
        <x:v>26</x:v>
      </x:c>
      <x:c r="B27" s="12" t="str">
        <x:v>Cleveland Museum of Art</x:v>
      </x:c>
      <x:c r="C27" s="12" t="str">
        <x:v>Cleveland</x:v>
      </x:c>
      <x:c r="D27" s="12" t="str">
        <x:v>CMA Benin Kingdom works</x:v>
      </x:c>
      <x:c r="E27" s="12" t="str">
        <x:v>Capture Digital Benin object ID and current ownership/location status</x:v>
      </x:c>
      <x:c r="F27" s="12" t="str">
        <x:v>Digital Benin ID missing; needed for cross-reference layer.</x:v>
      </x:c>
      <x:c r="G27" s="12" t="str">
        <x:v>https://www.clevelandart.org/articles/art-benin-kingdom</x:v>
      </x:c>
    </x:row>
  </x:sheetData>
  <x:pageMargins left="0.7" right="0.7" top="0.75" bottom="0.75" header="0.3" footer="0.3"/>
  <x:tableParts count="1">
    <x:tablePart xmlns:r="http://schemas.openxmlformats.org/officeDocument/2006/relationships" r:id="Rffb262f0242e47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18" t="str">
        <x:v>Confidence</x:v>
      </x:c>
    </x:row>
    <x:row r="2">
      <x:c r="A2" t="str">
        <x:v>Confirmed</x:v>
      </x:c>
    </x:row>
    <x:row r="3">
      <x:c r="A3" t="str">
        <x:v>Confirmed collection-level</x:v>
      </x:c>
    </x:row>
    <x:row r="4">
      <x:c r="A4" t="str">
        <x:v>Confirmed Benin</x:v>
      </x:c>
    </x:row>
    <x:row r="5">
      <x:c r="A5" t="str">
        <x:v>Confirmed, restituted</x:v>
      </x:c>
    </x:row>
    <x:row r="6">
      <x:c r="A6" t="str">
        <x:v>Confirmed, returned</x:v>
      </x:c>
    </x:row>
    <x:row r="7">
      <x:c r="A7" t="str">
        <x:v>Confirmed, partly restituted</x:v>
      </x:c>
    </x:row>
    <x:row r="8">
      <x:c r="A8" t="str">
        <x:v>Probable / very strong</x:v>
      </x:c>
    </x:row>
    <x:row r="9">
      <x:c r="A9" s="18" t="str">
        <x:v>Priority</x:v>
      </x:c>
    </x:row>
    <x:row r="10">
      <x:c r="A10" t="str">
        <x:v>High</x:v>
      </x:c>
    </x:row>
    <x:row r="11">
      <x:c r="A11" t="str">
        <x:v>Medium</x:v>
      </x:c>
    </x:row>
    <x:row r="12">
      <x:c r="A12" t="str">
        <x:v>Low</x:v>
      </x:c>
    </x:row>
    <x:row r="13">
      <x:c r="A13" s="18" t="str">
        <x:v>Record Level</x:v>
      </x:c>
    </x:row>
    <x:row r="14">
      <x:c r="A14" t="str">
        <x:v>Object</x:v>
      </x:c>
    </x:row>
    <x:row r="15">
      <x:c r="A15" t="str">
        <x:v>Collection</x:v>
      </x:c>
    </x:row>
    <x:row r="16">
      <x:c r="A16" t="str">
        <x:v>Archival document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70" hidden="0" customWidth="1"/>
  </x:cols>
  <x:sheetData>
    <x:row r="1">
      <x:c r="A1" s="4" t="str">
        <x:v>Topic</x:v>
      </x:c>
      <x:c r="B1" s="4" t="str">
        <x:v>Note</x:v>
      </x:c>
      <x:c r="C1" s="4" t="str">
        <x:v>URL</x:v>
      </x:c>
    </x:row>
    <x:row r="2">
      <x:c r="A2" t="str">
        <x:v>Digital Benin platform</x:v>
      </x:c>
      <x:c r="B2" t="str">
        <x:v>Digital Benin launched in 2022 as a platform bringing together looted Benin Kingdom objects and related archival documentation.</x:v>
      </x:c>
      <x:c r="C2" t="str">
        <x:v>https://digitalbenin.org/</x:v>
      </x:c>
    </x:row>
    <x:row r="3">
      <x:c r="A3" t="str">
        <x:v>Cambridge update</x:v>
      </x:c>
      <x:c r="B3" t="str">
        <x:v>University of Cambridge announced in Feb 2026 transfer of legal ownership of 116 MAA Benin artefacts to Nigeria/NCMM.</x:v>
      </x:c>
      <x:c r="C3" t="str">
        <x:v>https://www.cam.ac.uk/stories/benin-artefacts-return</x:v>
      </x:c>
    </x:row>
    <x:row r="4">
      <x:c r="A4" t="str">
        <x:v>Netherlands update</x:v>
      </x:c>
      <x:c r="B4" t="str">
        <x:v>Netherlands/Wereldmuseum sources report return of 119 Benin Bronzes to Nigeria in June 2025.</x:v>
      </x:c>
      <x:c r="C4" t="str">
        <x:v>https://leiden.wereldmuseum.nl/en/restitution-benin-bronzes-returning-home-nigeria</x:v>
      </x:c>
    </x:row>
    <x:row r="5">
      <x:c r="A5" t="str">
        <x:v>Smithsonian update</x:v>
      </x:c>
      <x:c r="B5" t="str">
        <x:v>Smithsonian returned 29 Benin bronzes to Nigeria/NCMM in Oct 2022; nine remained on long-term loan at NMAfA.</x:v>
      </x:c>
      <x:c r="C5" t="str">
        <x:v>https://www.si.edu/newsdesk/releases/smithsonian-returns-29-benin-bronzes-national-commission-museums-and-monuments</x:v>
      </x:c>
    </x:row>
  </x:sheetData>
  <x:pageMargins left="0.7" right="0.7" top="0.75" bottom="0.75" header="0.3" footer="0.3"/>
</x:worksheet>
</file>